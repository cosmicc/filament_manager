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68446d6acf42cd" /></Relationships>
</file>

<file path=xl/workbook.xml><?xml version="1.0" encoding="utf-8"?>
<x:workbook xmlns:x="http://schemas.openxmlformats.org/spreadsheetml/2006/main">
  <x:sheets>
    <x:sheet xmlns:r="http://schemas.openxmlformats.org/officeDocument/2006/relationships" name="Dashboard" sheetId="1" r:id="R2c6975fa86224dad"/>
    <x:sheet xmlns:r="http://schemas.openxmlformats.org/officeDocument/2006/relationships" name="Inventory" sheetId="2" r:id="R0fb7723141a54875"/>
    <x:sheet xmlns:r="http://schemas.openxmlformats.org/officeDocument/2006/relationships" name="Lists" sheetId="3" r:id="R2488c6bebb2f496b"/>
    <x:sheet xmlns:r="http://schemas.openxmlformats.org/officeDocument/2006/relationships" name="Wishlist" sheetId="4" r:id="R9186cc887bbe4601"/>
    <x:sheet xmlns:r="http://schemas.openxmlformats.org/officeDocument/2006/relationships" name="Material Reference" sheetId="5" r:id="Rde96bffb96c5411a"/>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00"/>
    <x:numFmt numFmtId="201" formatCode="0"/>
    <x:numFmt numFmtId="202" formatCode="0%"/>
    <x:numFmt numFmtId="203" formatCode="0.0"/>
    <x:numFmt numFmtId="204" formatCode="0.000"/>
    <x:numFmt numFmtId="205" formatCode="mm/dd/yyyy"/>
    <x:numFmt numFmtId="206" formatCode="mm/dd/yyyy hh:mm"/>
    <x:numFmt numFmtId="207" formatCode="$0.00"/>
    <x:numFmt numFmtId="208" formatCode="$0.0000"/>
    <x:numFmt numFmtId="209" formatCode="0.00 &quot;kg&quot;"/>
  </x:numFmts>
  <x:fonts count="5">
    <x:font>
      <x:sz val="11"/>
      <x:name val="Carlito"/>
    </x:font>
    <x:font>
      <x:b/>
      <x:sz val="11"/>
      <x:color rgb="FFFFFFFF"/>
      <x:name val="Carlito"/>
    </x:font>
    <x:font>
      <x:b/>
      <x:sz val="11"/>
      <x:color rgb="FF16324F"/>
      <x:name val="Carlito"/>
    </x:font>
    <x:font>
      <x:b/>
      <x:sz val="18"/>
      <x:color rgb="FFFFFFFF"/>
      <x:name val="Carlito"/>
    </x:font>
    <x:font>
      <x:b/>
      <x:sz val="16"/>
      <x:color rgb="FF16324F"/>
      <x:name val="Carlito"/>
    </x:font>
  </x:fonts>
  <x:fills count="9">
    <x:fill>
      <x:patternFill patternType="none"/>
    </x:fill>
    <x:fill>
      <x:patternFill patternType="gray125"/>
    </x:fill>
    <x:fill>
      <x:patternFill patternType="solid">
        <x:fgColor rgb="FF16324F"/>
      </x:patternFill>
    </x:fill>
    <x:fill>
      <x:patternFill patternType="solid">
        <x:fgColor rgb="FFEEF2F7"/>
      </x:patternFill>
    </x:fill>
    <x:fill>
      <x:patternFill patternType="solid">
        <x:fgColor rgb="FFE8F3F8"/>
      </x:patternFill>
    </x:fill>
    <x:fill>
      <x:patternFill patternType="solid">
        <x:fgColor rgb="FFFFF4CC"/>
      </x:patternFill>
    </x:fill>
    <x:fill>
      <x:patternFill patternType="solid">
        <x:fgColor rgb="FFD9EAF7"/>
      </x:patternFill>
    </x:fill>
    <x:fill>
      <x:patternFill patternType="solid">
        <x:fgColor rgb="FFF7FAFC"/>
      </x:patternFill>
    </x:fill>
    <x:fill>
      <x:patternFill patternType="solid">
        <x:fgColor rgb="FFE2F0D9"/>
      </x:patternFill>
    </x:fill>
  </x:fills>
  <x:borders count="46">
    <x:border/>
    <x:border/>
    <x:border>
      <x:left style="thin">
        <x:color rgb="FFB7C9D6"/>
      </x:left>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right style="thin">
        <x:color rgb="FFB7C9D6"/>
      </x:right>
      <x:bottom style="thin">
        <x:color rgb="FFB7C9D6"/>
      </x:bottom>
    </x:border>
    <x:border>
      <x:left style="thin">
        <x:color rgb="FFB7C9D6"/>
      </x:left>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right style="thin">
        <x:color rgb="FFB7C9D6"/>
      </x:right>
      <x:bottom style="thin">
        <x:color rgb="FFB7C9D6"/>
      </x:bottom>
    </x:border>
    <x:border>
      <x:top style="thin">
        <x:color rgb="FFB7C9D6"/>
      </x:top>
    </x:border>
    <x:border>
      <x:bottom style="thin">
        <x:color rgb="FFB7C9D6"/>
      </x:bottom>
    </x:border>
    <x:border>
      <x:top style="thin">
        <x:color rgb="FFB7C9D6"/>
      </x:top>
    </x:border>
    <x:border>
      <x:bottom style="thin">
        <x:color rgb="FFB7C9D6"/>
      </x:bottom>
    </x:border>
    <x:border>
      <x:left style="thin">
        <x:color rgb="FFD6B656"/>
      </x:left>
      <x:top style="thin">
        <x:color rgb="FFD6B656"/>
      </x:top>
    </x:border>
    <x:border>
      <x:top style="thin">
        <x:color rgb="FFD6B656"/>
      </x:top>
    </x:border>
    <x:border>
      <x:right style="thin">
        <x:color rgb="FFD6B656"/>
      </x:right>
      <x:top style="thin">
        <x:color rgb="FFD6B656"/>
      </x:top>
    </x:border>
    <x:border>
      <x:left style="thin">
        <x:color rgb="FFD6B656"/>
      </x:left>
    </x:border>
    <x:border>
      <x:right style="thin">
        <x:color rgb="FFD6B656"/>
      </x:right>
    </x:border>
    <x:border>
      <x:left style="thin">
        <x:color rgb="FFD6B656"/>
      </x:left>
      <x:bottom style="thin">
        <x:color rgb="FFD6B656"/>
      </x:bottom>
    </x:border>
    <x:border>
      <x:bottom style="thin">
        <x:color rgb="FFD6B656"/>
      </x:bottom>
    </x:border>
    <x:border>
      <x:right style="thin">
        <x:color rgb="FFD6B656"/>
      </x:right>
      <x:bottom style="thin">
        <x:color rgb="FFD6B656"/>
      </x:bottom>
    </x:border>
    <x:border>
      <x:left style="thin">
        <x:color rgb="FFD6B656"/>
      </x:left>
      <x:top style="thin">
        <x:color rgb="FFD6B656"/>
      </x:top>
    </x:border>
    <x:border>
      <x:top style="thin">
        <x:color rgb="FFD6B656"/>
      </x:top>
    </x:border>
    <x:border>
      <x:right style="thin">
        <x:color rgb="FFD6B656"/>
      </x:right>
      <x:top style="thin">
        <x:color rgb="FFD6B656"/>
      </x:top>
    </x:border>
    <x:border>
      <x:left style="thin">
        <x:color rgb="FFD6B656"/>
      </x:left>
    </x:border>
    <x:border>
      <x:right style="thin">
        <x:color rgb="FFD6B656"/>
      </x:right>
    </x:border>
    <x:border>
      <x:left style="thin">
        <x:color rgb="FFD6B656"/>
      </x:left>
      <x:bottom style="thin">
        <x:color rgb="FFD6B656"/>
      </x:bottom>
    </x:border>
    <x:border>
      <x:bottom style="thin">
        <x:color rgb="FFD6B656"/>
      </x:bottom>
    </x:border>
    <x:border>
      <x:right style="thin">
        <x:color rgb="FFD6B656"/>
      </x:right>
      <x:bottom style="thin">
        <x:color rgb="FFD6B656"/>
      </x:bottom>
    </x:border>
    <x:border>
      <x:left style="thin">
        <x:color rgb="FFD9E2F3"/>
      </x:left>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right style="thin">
        <x:color rgb="FFD9E2F3"/>
      </x:right>
      <x:bottom style="thin">
        <x:color rgb="FFD9E2F3"/>
      </x:bottom>
    </x:border>
    <x:border>
      <x:left style="thin">
        <x:color rgb="FFD9E2F3"/>
      </x:left>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right style="thin">
        <x:color rgb="FFD9E2F3"/>
      </x:right>
      <x:bottom style="thin">
        <x:color rgb="FFD9E2F3"/>
      </x:bottom>
    </x:border>
  </x:borders>
  <x:cellStyleXfs count="1">
    <x:xf numFmtId="0" fontId="0" fillId="0" borderId="0"/>
  </x:cellStyleXfs>
  <x:cellXfs count="14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3" borderId="0" xfId="0" applyNumberFormat="1" applyFont="1" applyFill="1" applyBorder="1" applyAlignment="1">
      <x:alignment vertical="center" wrapText="1"/>
    </x:xf>
    <x:xf numFmtId="0" fontId="0" fillId="3" borderId="1" xfId="0" applyNumberFormat="1" applyFont="1" applyFill="1" applyBorder="1" applyAlignment="1">
      <x:alignment vertical="center" wrapText="1"/>
    </x:xf>
    <x:xf numFmtId="0" fontId="0" fillId="4" borderId="0" xfId="0" applyNumberFormat="1" applyFont="1" applyFill="1" applyBorder="1" applyAlignment="1">
      <x:alignment vertical="center" wrapText="1"/>
    </x:xf>
    <x:xf numFmtId="0" fontId="0" fillId="4" borderId="1"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0" fillId="5"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200" fontId="0" fillId="5" borderId="1" xfId="0" applyNumberFormat="1" applyFont="1" applyFill="1" applyBorder="1" applyAlignment="1">
      <x:alignment vertical="center" wrapText="1"/>
    </x:xf>
    <x:xf numFmtId="201" fontId="0" fillId="4" borderId="0" xfId="0" applyNumberFormat="1" applyFont="1" applyFill="1" applyBorder="1" applyAlignment="1">
      <x:alignment vertical="center" wrapText="1"/>
    </x:xf>
    <x:xf numFmtId="201" fontId="0" fillId="4" borderId="1" xfId="0" applyNumberFormat="1" applyFont="1" applyFill="1" applyBorder="1" applyAlignment="1">
      <x:alignment vertical="center" wrapText="1"/>
    </x:xf>
    <x:xf numFmtId="202" fontId="0" fillId="4" borderId="0" xfId="0" applyNumberFormat="1" applyFont="1" applyFill="1" applyBorder="1" applyAlignment="1">
      <x:alignment vertical="center" wrapText="1"/>
    </x:xf>
    <x:xf numFmtId="202" fontId="0" fillId="4" borderId="1" xfId="0" applyNumberFormat="1" applyFont="1" applyFill="1" applyBorder="1" applyAlignment="1">
      <x:alignment vertical="center" wrapText="1"/>
    </x:xf>
    <x:xf numFmtId="203" fontId="0" fillId="4" borderId="0" xfId="0" applyNumberFormat="1" applyFont="1" applyFill="1" applyBorder="1" applyAlignment="1">
      <x:alignment vertical="center" wrapText="1"/>
    </x:xf>
    <x:xf numFmtId="203" fontId="0" fillId="4" borderId="1" xfId="0" applyNumberFormat="1" applyFont="1" applyFill="1" applyBorder="1" applyAlignment="1">
      <x:alignment vertical="center" wrapText="1"/>
    </x:xf>
    <x:xf numFmtId="203" fontId="0" fillId="0" borderId="0" xfId="0" applyNumberFormat="1" applyFont="1" applyFill="1" applyBorder="1" applyAlignment="1">
      <x:alignment vertical="center" wrapText="1"/>
    </x:xf>
    <x:xf numFmtId="203" fontId="0" fillId="0" borderId="1"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201" fontId="0" fillId="0" borderId="1" xfId="0" applyNumberFormat="1" applyFont="1" applyFill="1" applyBorder="1" applyAlignment="1">
      <x:alignment vertical="center" wrapText="1"/>
    </x:xf>
    <x:xf numFmtId="204" fontId="0" fillId="0" borderId="0" xfId="0" applyNumberFormat="1" applyFont="1" applyFill="1" applyBorder="1" applyAlignment="1">
      <x:alignment vertical="center" wrapText="1"/>
    </x:xf>
    <x:xf numFmtId="204" fontId="0" fillId="0" borderId="1" xfId="0" applyNumberFormat="1" applyFont="1" applyFill="1" applyBorder="1" applyAlignment="1">
      <x:alignment vertical="center" wrapText="1"/>
    </x:xf>
    <x:xf numFmtId="205" fontId="0" fillId="0" borderId="0" xfId="0" applyNumberFormat="1" applyFont="1" applyFill="1" applyBorder="1" applyAlignment="1">
      <x:alignment vertical="center" wrapText="1"/>
    </x:xf>
    <x:xf numFmtId="205" fontId="0" fillId="0" borderId="1" xfId="0" applyNumberFormat="1" applyFont="1" applyFill="1" applyBorder="1" applyAlignment="1">
      <x:alignment vertical="center" wrapText="1"/>
    </x:xf>
    <x:xf numFmtId="206" fontId="0" fillId="0" borderId="0" xfId="0" applyNumberFormat="1" applyFont="1" applyFill="1" applyBorder="1" applyAlignment="1">
      <x:alignment vertical="center" wrapText="1"/>
    </x:xf>
    <x:xf numFmtId="206" fontId="0" fillId="0" borderId="1" xfId="0" applyNumberFormat="1" applyFont="1" applyFill="1" applyBorder="1" applyAlignment="1">
      <x:alignment vertical="center" wrapText="1"/>
    </x:xf>
    <x:xf numFmtId="207" fontId="0" fillId="0" borderId="0" xfId="0" applyNumberFormat="1" applyFont="1" applyFill="1" applyBorder="1" applyAlignment="1">
      <x:alignment vertical="center" wrapText="1"/>
    </x:xf>
    <x:xf numFmtId="207" fontId="0" fillId="0" borderId="1" xfId="0" applyNumberFormat="1" applyFont="1" applyFill="1" applyBorder="1" applyAlignment="1">
      <x:alignment vertical="center" wrapText="1"/>
    </x:xf>
    <x:xf numFmtId="208" fontId="0" fillId="4" borderId="0" xfId="0" applyNumberFormat="1" applyFont="1" applyFill="1" applyBorder="1" applyAlignment="1">
      <x:alignment vertical="center" wrapText="1"/>
    </x:xf>
    <x:xf numFmtId="208" fontId="0" fillId="4" borderId="1" xfId="0" applyNumberFormat="1" applyFont="1" applyFill="1" applyBorder="1" applyAlignment="1">
      <x:alignment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200" fontId="0" fillId="5" borderId="4" xfId="0" applyNumberFormat="1" applyFont="1" applyFill="1" applyBorder="1" applyAlignment="1">
      <x:alignment vertical="center" wrapText="1"/>
    </x:xf>
    <x:xf numFmtId="200" fontId="0" fillId="5" borderId="5" xfId="0" applyNumberFormat="1" applyFont="1" applyFill="1" applyBorder="1" applyAlignment="1">
      <x:alignment vertical="center" wrapText="1"/>
    </x:xf>
    <x:xf numFmtId="200" fontId="0" fillId="5" borderId="6" xfId="0" applyNumberFormat="1" applyFont="1" applyFill="1" applyBorder="1" applyAlignment="1">
      <x:alignment vertical="center" wrapText="1"/>
    </x:xf>
    <x:xf numFmtId="200" fontId="0" fillId="5" borderId="7" xfId="0" applyNumberFormat="1" applyFont="1" applyFill="1" applyBorder="1" applyAlignment="1">
      <x:alignment vertical="center" wrapText="1"/>
    </x:xf>
    <x:xf numFmtId="0" fontId="1" fillId="2" borderId="8" xfId="0" applyNumberFormat="1" applyFont="1" applyFill="1" applyBorder="1" applyAlignment="1">
      <x:alignment horizontal="center" vertical="center" wrapText="1"/>
    </x:xf>
    <x:xf numFmtId="0" fontId="1" fillId="2" borderId="9" xfId="0" applyNumberFormat="1" applyFont="1" applyFill="1" applyBorder="1" applyAlignment="1">
      <x:alignment horizontal="center" vertical="center" wrapText="1"/>
    </x:xf>
    <x:xf numFmtId="200" fontId="0" fillId="5" borderId="10" xfId="0" applyNumberFormat="1" applyFont="1" applyFill="1" applyBorder="1" applyAlignment="1">
      <x:alignment vertical="center" wrapText="1"/>
    </x:xf>
    <x:xf numFmtId="200" fontId="0" fillId="5" borderId="11" xfId="0" applyNumberFormat="1" applyFont="1" applyFill="1" applyBorder="1" applyAlignment="1">
      <x:alignment vertical="center" wrapText="1"/>
    </x:xf>
    <x:xf numFmtId="200" fontId="0" fillId="5" borderId="12" xfId="0" applyNumberFormat="1" applyFont="1" applyFill="1" applyBorder="1" applyAlignment="1">
      <x:alignment vertical="center" wrapText="1"/>
    </x:xf>
    <x:xf numFmtId="200" fontId="0" fillId="5" borderId="13" xfId="0" applyNumberFormat="1" applyFont="1" applyFill="1" applyBorder="1" applyAlignment="1">
      <x:alignment vertical="center" wrapText="1"/>
    </x:xf>
    <x:xf numFmtId="0" fontId="1" fillId="2" borderId="14" xfId="0" applyNumberFormat="1" applyFont="1" applyFill="1" applyBorder="1" applyAlignment="1">
      <x:alignment horizontal="center" vertical="center" wrapText="1"/>
    </x:xf>
    <x:xf numFmtId="201" fontId="0" fillId="4" borderId="4" xfId="0" applyNumberFormat="1" applyFont="1" applyFill="1" applyBorder="1" applyAlignment="1">
      <x:alignment vertical="center" wrapText="1"/>
    </x:xf>
    <x:xf numFmtId="201" fontId="0" fillId="4" borderId="5" xfId="0" applyNumberFormat="1" applyFont="1" applyFill="1" applyBorder="1" applyAlignment="1">
      <x:alignment vertical="center" wrapText="1"/>
    </x:xf>
    <x:xf numFmtId="201" fontId="0" fillId="4" borderId="6" xfId="0" applyNumberFormat="1" applyFont="1" applyFill="1" applyBorder="1" applyAlignment="1">
      <x:alignment vertical="center" wrapText="1"/>
    </x:xf>
    <x:xf numFmtId="202" fontId="0" fillId="4" borderId="15" xfId="0" applyNumberFormat="1" applyFont="1" applyFill="1" applyBorder="1" applyAlignment="1">
      <x:alignment vertical="center" wrapText="1"/>
    </x:xf>
    <x:xf numFmtId="201" fontId="0" fillId="4" borderId="15" xfId="0" applyNumberFormat="1" applyFont="1" applyFill="1" applyBorder="1" applyAlignment="1">
      <x:alignment vertical="center" wrapText="1"/>
    </x:xf>
    <x:xf numFmtId="203" fontId="0" fillId="4" borderId="15" xfId="0" applyNumberFormat="1" applyFont="1" applyFill="1" applyBorder="1" applyAlignment="1">
      <x:alignment vertical="center" wrapText="1"/>
    </x:xf>
    <x:xf numFmtId="201" fontId="0" fillId="4" borderId="7" xfId="0" applyNumberFormat="1" applyFont="1" applyFill="1" applyBorder="1" applyAlignment="1">
      <x:alignment vertical="center" wrapText="1"/>
    </x:xf>
    <x:xf numFmtId="0" fontId="1" fillId="2" borderId="16" xfId="0" applyNumberFormat="1" applyFont="1" applyFill="1" applyBorder="1" applyAlignment="1">
      <x:alignment horizontal="center" vertical="center" wrapText="1"/>
    </x:xf>
    <x:xf numFmtId="201" fontId="0" fillId="4" borderId="10" xfId="0" applyNumberFormat="1" applyFont="1" applyFill="1" applyBorder="1" applyAlignment="1">
      <x:alignment vertical="center" wrapText="1"/>
    </x:xf>
    <x:xf numFmtId="201" fontId="0" fillId="4" borderId="11" xfId="0" applyNumberFormat="1" applyFont="1" applyFill="1" applyBorder="1" applyAlignment="1">
      <x:alignment vertical="center" wrapText="1"/>
    </x:xf>
    <x:xf numFmtId="201" fontId="0" fillId="4" borderId="12" xfId="0" applyNumberFormat="1" applyFont="1" applyFill="1" applyBorder="1" applyAlignment="1">
      <x:alignment vertical="center" wrapText="1"/>
    </x:xf>
    <x:xf numFmtId="202" fontId="0" fillId="4" borderId="17" xfId="0" applyNumberFormat="1" applyFont="1" applyFill="1" applyBorder="1" applyAlignment="1">
      <x:alignment vertical="center" wrapText="1"/>
    </x:xf>
    <x:xf numFmtId="201" fontId="0" fillId="4" borderId="17" xfId="0" applyNumberFormat="1" applyFont="1" applyFill="1" applyBorder="1" applyAlignment="1">
      <x:alignment vertical="center" wrapText="1"/>
    </x:xf>
    <x:xf numFmtId="203" fontId="0" fillId="4" borderId="17" xfId="0" applyNumberFormat="1" applyFont="1" applyFill="1" applyBorder="1" applyAlignment="1">
      <x:alignment vertical="center" wrapText="1"/>
    </x:xf>
    <x:xf numFmtId="201" fontId="0" fillId="4" borderId="13"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2" fillId="6" borderId="0" xfId="0" applyNumberFormat="1" applyFont="1" applyFill="1" applyBorder="1" applyAlignment="1">
      <x:alignment wrapText="1"/>
    </x:xf>
    <x:xf numFmtId="0" fontId="2" fillId="6"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2" fillId="6" borderId="0" xfId="0" applyNumberFormat="1" applyFont="1" applyFill="1" applyBorder="1" applyAlignment="1">
      <x:alignment horizontal="center" vertical="center"/>
    </x:xf>
    <x:xf numFmtId="0" fontId="0" fillId="6" borderId="1" xfId="0" applyNumberFormat="1" applyFont="1" applyFill="1" applyBorder="1"/>
    <x:xf numFmtId="0" fontId="2" fillId="6" borderId="1" xfId="0" applyNumberFormat="1" applyFont="1" applyFill="1" applyBorder="1"/>
    <x:xf numFmtId="0" fontId="2" fillId="6" borderId="1" xfId="0" applyNumberFormat="1" applyFont="1" applyFill="1" applyBorder="1" applyAlignment="1">
      <x:alignment horizontal="center"/>
    </x:xf>
    <x:xf numFmtId="0" fontId="2" fillId="6" borderId="1" xfId="0" applyNumberFormat="1" applyFont="1" applyFill="1" applyBorder="1" applyAlignment="1">
      <x:alignment horizontal="center" vertic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center"/>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horizontal="center"/>
    </x:xf>
    <x:xf numFmtId="0" fontId="4" fillId="7" borderId="1" xfId="0" applyNumberFormat="1" applyFont="1" applyFill="1" applyBorder="1" applyAlignment="1">
      <x:alignment horizontal="center" vertical="center"/>
    </x:xf>
    <x:xf numFmtId="201" fontId="4" fillId="7" borderId="0" xfId="0" applyNumberFormat="1" applyFont="1" applyFill="1" applyBorder="1" applyAlignment="1">
      <x:alignment horizontal="center" vertical="center"/>
    </x:xf>
    <x:xf numFmtId="201" fontId="4" fillId="7" borderId="1" xfId="0" applyNumberFormat="1" applyFont="1" applyFill="1" applyBorder="1" applyAlignment="1">
      <x:alignment horizontal="center" vertical="center"/>
    </x:xf>
    <x:xf numFmtId="209" fontId="4" fillId="7" borderId="0" xfId="0" applyNumberFormat="1" applyFont="1" applyFill="1" applyBorder="1" applyAlignment="1">
      <x:alignment horizontal="center" vertical="center"/>
    </x:xf>
    <x:xf numFmtId="209" fontId="4" fillId="7" borderId="1" xfId="0" applyNumberFormat="1" applyFont="1" applyFill="1" applyBorder="1" applyAlignment="1">
      <x:alignment horizontal="center" vertical="center"/>
    </x:xf>
    <x:xf numFmtId="207" fontId="4" fillId="7" borderId="0" xfId="0" applyNumberFormat="1" applyFont="1" applyFill="1" applyBorder="1" applyAlignment="1">
      <x:alignment horizontal="center" vertical="center"/>
    </x:xf>
    <x:xf numFmtId="207" fontId="4" fillId="7" borderId="1" xfId="0" applyNumberFormat="1" applyFont="1" applyFill="1" applyBorder="1" applyAlignment="1">
      <x:alignment horizontal="center" vertical="center"/>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8" xfId="0" applyNumberFormat="1" applyFont="1" applyFill="1" applyBorder="1" applyAlignment="1">
      <x:alignment vertical="center" wrapText="1"/>
    </x:xf>
    <x:xf numFmtId="0" fontId="0" fillId="5" borderId="19" xfId="0" applyNumberFormat="1" applyFont="1" applyFill="1" applyBorder="1" applyAlignment="1">
      <x:alignment vertical="center" wrapText="1"/>
    </x:xf>
    <x:xf numFmtId="0" fontId="0" fillId="5" borderId="20" xfId="0" applyNumberFormat="1" applyFont="1" applyFill="1" applyBorder="1" applyAlignment="1">
      <x:alignment vertical="center" wrapText="1"/>
    </x:xf>
    <x:xf numFmtId="0" fontId="0" fillId="5" borderId="21" xfId="0" applyNumberFormat="1" applyFont="1" applyFill="1" applyBorder="1" applyAlignment="1">
      <x:alignment vertical="center" wrapText="1"/>
    </x:xf>
    <x:xf numFmtId="0" fontId="0" fillId="5" borderId="22" xfId="0" applyNumberFormat="1" applyFont="1" applyFill="1" applyBorder="1" applyAlignment="1">
      <x:alignment vertical="center" wrapText="1"/>
    </x:xf>
    <x:xf numFmtId="0" fontId="0" fillId="5" borderId="23" xfId="0" applyNumberFormat="1" applyFont="1" applyFill="1" applyBorder="1" applyAlignment="1">
      <x:alignment vertical="center" wrapText="1"/>
    </x:xf>
    <x:xf numFmtId="0" fontId="0" fillId="5" borderId="24" xfId="0" applyNumberFormat="1" applyFont="1" applyFill="1" applyBorder="1" applyAlignment="1">
      <x:alignment vertical="center" wrapText="1"/>
    </x:xf>
    <x:xf numFmtId="0" fontId="0" fillId="5" borderId="25" xfId="0" applyNumberFormat="1" applyFont="1" applyFill="1" applyBorder="1" applyAlignment="1">
      <x:alignment vertical="center" wrapText="1"/>
    </x:xf>
    <x:xf numFmtId="0" fontId="0" fillId="5" borderId="26" xfId="0" applyNumberFormat="1" applyFont="1" applyFill="1" applyBorder="1" applyAlignment="1">
      <x:alignment vertical="center" wrapText="1"/>
    </x:xf>
    <x:xf numFmtId="0" fontId="0" fillId="5" borderId="27" xfId="0" applyNumberFormat="1" applyFont="1" applyFill="1" applyBorder="1" applyAlignment="1">
      <x:alignment vertical="center" wrapText="1"/>
    </x:xf>
    <x:xf numFmtId="0" fontId="0" fillId="5" borderId="28" xfId="0" applyNumberFormat="1" applyFont="1" applyFill="1" applyBorder="1" applyAlignment="1">
      <x:alignment vertical="center" wrapText="1"/>
    </x:xf>
    <x:xf numFmtId="0" fontId="0" fillId="5" borderId="29" xfId="0" applyNumberFormat="1" applyFont="1" applyFill="1" applyBorder="1" applyAlignment="1">
      <x:alignment vertical="center" wrapText="1"/>
    </x:xf>
    <x:xf numFmtId="0" fontId="0" fillId="5" borderId="30" xfId="0" applyNumberFormat="1" applyFont="1" applyFill="1" applyBorder="1" applyAlignment="1">
      <x:alignment vertical="center" wrapText="1"/>
    </x:xf>
    <x:xf numFmtId="0" fontId="0" fillId="5" borderId="31" xfId="0" applyNumberFormat="1" applyFont="1" applyFill="1" applyBorder="1" applyAlignment="1">
      <x:alignment vertical="center" wrapText="1"/>
    </x:xf>
    <x:xf numFmtId="0" fontId="0" fillId="5" borderId="32" xfId="0" applyNumberFormat="1" applyFont="1" applyFill="1" applyBorder="1" applyAlignment="1">
      <x:alignment vertical="center" wrapText="1"/>
    </x:xf>
    <x:xf numFmtId="0" fontId="0" fillId="5" borderId="33" xfId="0" applyNumberFormat="1" applyFont="1" applyFill="1" applyBorder="1" applyAlignment="1">
      <x:alignment vertical="center" wrapText="1"/>
    </x:xf>
    <x:xf numFmtId="201" fontId="0" fillId="0" borderId="0" xfId="0" applyNumberFormat="1" applyFont="1" applyFill="1" applyBorder="1"/>
    <x:xf numFmtId="201" fontId="0" fillId="0" borderId="1" xfId="0" applyNumberFormat="1" applyFont="1" applyFill="1" applyBorder="1"/>
    <x:xf numFmtId="0" fontId="1" fillId="2" borderId="34" xfId="0" applyNumberFormat="1" applyFont="1" applyFill="1" applyBorder="1" applyAlignment="1">
      <x:alignment horizontal="center" vertical="center" wrapText="1"/>
    </x:xf>
    <x:xf numFmtId="0" fontId="1" fillId="2" borderId="35" xfId="0" applyNumberFormat="1" applyFont="1" applyFill="1" applyBorder="1" applyAlignment="1">
      <x:alignment horizontal="center" vertical="center" wrapText="1"/>
    </x:xf>
    <x:xf numFmtId="0" fontId="0" fillId="0" borderId="36" xfId="0" applyNumberFormat="1" applyFont="1" applyFill="1" applyBorder="1"/>
    <x:xf numFmtId="201" fontId="0" fillId="0" borderId="37" xfId="0" applyNumberFormat="1" applyFont="1" applyFill="1" applyBorder="1"/>
    <x:xf numFmtId="0" fontId="0" fillId="0" borderId="38" xfId="0" applyNumberFormat="1" applyFont="1" applyFill="1" applyBorder="1"/>
    <x:xf numFmtId="201" fontId="0" fillId="0" borderId="39" xfId="0" applyNumberFormat="1" applyFont="1" applyFill="1" applyBorder="1"/>
    <x:xf numFmtId="0" fontId="1" fillId="2" borderId="40" xfId="0" applyNumberFormat="1" applyFont="1" applyFill="1" applyBorder="1" applyAlignment="1">
      <x:alignment horizontal="center" vertical="center" wrapText="1"/>
    </x:xf>
    <x:xf numFmtId="0" fontId="1" fillId="2" borderId="41" xfId="0" applyNumberFormat="1" applyFont="1" applyFill="1" applyBorder="1" applyAlignment="1">
      <x:alignment horizontal="center" vertical="center" wrapText="1"/>
    </x:xf>
    <x:xf numFmtId="0" fontId="0" fillId="0" borderId="42" xfId="0" applyNumberFormat="1" applyFont="1" applyFill="1" applyBorder="1"/>
    <x:xf numFmtId="201" fontId="0" fillId="0" borderId="43" xfId="0" applyNumberFormat="1" applyFont="1" applyFill="1" applyBorder="1"/>
    <x:xf numFmtId="0" fontId="0" fillId="0" borderId="44" xfId="0" applyNumberFormat="1" applyFont="1" applyFill="1" applyBorder="1"/>
    <x:xf numFmtId="201" fontId="0" fillId="0" borderId="45"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0" xfId="0" applyNumberFormat="1" applyFont="1" applyFill="1" applyBorder="1" applyAlignment="1">
      <x:alignment vertical="center" wrapText="1"/>
    </x:xf>
  </x:cellXfs>
  <x:cellStyles count="1">
    <x:cellStyle name="Normal" xfId="0"/>
  </x:cellStyles>
  <x:dxfs count="21">
    <x:dxf>
      <x:font>
        <x:color rgb="FF7F6000"/>
      </x:font>
      <x:fill>
        <x:patternFill patternType="solid">
          <x:bgColor rgb="FFFFF2CC"/>
        </x:patternFill>
      </x:fill>
    </x:dxf>
    <x:dxf>
      <x:font>
        <x:color rgb="FF375623"/>
      </x:font>
      <x:fill>
        <x:patternFill patternType="solid">
          <x:bgColor rgb="FFE2F0D9"/>
        </x:patternFill>
      </x:fill>
    </x:dxf>
    <x:dxf>
      <x:font>
        <x:color rgb="FF9C5700"/>
      </x:font>
      <x:fill>
        <x:patternFill patternType="solid">
          <x:bgColor rgb="FFFCE4D6"/>
        </x:patternFill>
      </x:fill>
    </x:dxf>
    <x:dxf>
      <x:font>
        <x:color rgb="FF9C0006"/>
      </x:font>
      <x:fill>
        <x:patternFill patternType="solid">
          <x:bgColor rgb="FFF4CCCC"/>
        </x:patternFill>
      </x:fill>
    </x:dxf>
    <x:dxf>
      <x:font>
        <x:color rgb="FFFFFFFF"/>
      </x:font>
      <x:fill>
        <x:patternFill patternType="solid">
          <x:bgColor rgb="FF111111"/>
        </x:patternFill>
      </x:fill>
    </x:dxf>
    <x:dxf>
      <x:font>
        <x:color rgb="FF222222"/>
      </x:font>
      <x:fill>
        <x:patternFill patternType="solid">
          <x:bgColor rgb="FFFFFFFF"/>
        </x:patternFill>
      </x:fill>
    </x:dxf>
    <x:dxf>
      <x:font>
        <x:color rgb="FF111111"/>
      </x:font>
      <x:fill>
        <x:patternFill patternType="solid">
          <x:bgColor rgb="FFB7B7B7"/>
        </x:patternFill>
      </x:fill>
    </x:dxf>
    <x:dxf>
      <x:font>
        <x:color rgb="FFFFFFFF"/>
      </x:font>
      <x:fill>
        <x:patternFill patternType="solid">
          <x:bgColor rgb="FFE74C3C"/>
        </x:patternFill>
      </x:fill>
    </x:dxf>
    <x:dxf>
      <x:font>
        <x:color rgb="FF111111"/>
      </x:font>
      <x:fill>
        <x:patternFill patternType="solid">
          <x:bgColor rgb="FFF4B183"/>
        </x:patternFill>
      </x:fill>
    </x:dxf>
    <x:dxf>
      <x:font>
        <x:color rgb="FF111111"/>
      </x:font>
      <x:fill>
        <x:patternFill patternType="solid">
          <x:bgColor rgb="FFFFD966"/>
        </x:patternFill>
      </x:fill>
    </x:dxf>
    <x:dxf>
      <x:font>
        <x:color rgb="FFFFFFFF"/>
      </x:font>
      <x:fill>
        <x:patternFill patternType="solid">
          <x:bgColor rgb="FF70AD47"/>
        </x:patternFill>
      </x:fill>
    </x:dxf>
    <x:dxf>
      <x:font>
        <x:color rgb="FFFFFFFF"/>
      </x:font>
      <x:fill>
        <x:patternFill patternType="solid">
          <x:bgColor rgb="FF5B9BD5"/>
        </x:patternFill>
      </x:fill>
    </x:dxf>
    <x:dxf>
      <x:font>
        <x:color rgb="FFFFFFFF"/>
      </x:font>
      <x:fill>
        <x:patternFill patternType="solid">
          <x:bgColor rgb="FF8064A2"/>
        </x:patternFill>
      </x:fill>
    </x:dxf>
    <x:dxf>
      <x:font>
        <x:color rgb="FF111111"/>
      </x:font>
      <x:fill>
        <x:patternFill patternType="solid">
          <x:bgColor rgb="FFF4CCCC"/>
        </x:patternFill>
      </x:fill>
    </x:dxf>
    <x:dxf>
      <x:font>
        <x:color rgb="FFFFFFFF"/>
      </x:font>
      <x:fill>
        <x:patternFill patternType="solid">
          <x:bgColor rgb="FFA67C52"/>
        </x:patternFill>
      </x:fill>
    </x:dxf>
    <x:dxf>
      <x:font>
        <x:color rgb="FF111111"/>
      </x:font>
      <x:fill>
        <x:patternFill patternType="solid">
          <x:bgColor rgb="FFDDEBF7"/>
        </x:patternFill>
      </x:fill>
    </x:dxf>
    <x:dxf>
      <x:font>
        <x:b/>
        <x:color rgb="FF674EA7"/>
      </x:font>
      <x:fill>
        <x:patternFill patternType="solid">
          <x:bgColor rgb="FFD9EAD3"/>
        </x:patternFill>
      </x:fill>
    </x:dxf>
    <x:dxf>
      <x:font>
        <x:color rgb="FF9C0006"/>
      </x:font>
      <x:fill>
        <x:patternFill patternType="solid">
          <x:bgColor rgb="FFF8696B"/>
        </x:patternFill>
      </x:fill>
    </x:dxf>
    <x:dxf>
      <x:font>
        <x:color rgb="FF9C5700"/>
      </x:font>
      <x:fill>
        <x:patternFill patternType="solid">
          <x:bgColor rgb="FFF4B183"/>
        </x:patternFill>
      </x:fill>
    </x:dxf>
    <x:dxf>
      <x:font>
        <x:color rgb="FF7F6000"/>
      </x:font>
      <x:fill>
        <x:patternFill patternType="solid">
          <x:bgColor rgb="FFFFEB84"/>
        </x:patternFill>
      </x:fill>
    </x:dxf>
    <x:dxf>
      <x:font>
        <x:color rgb="FF375623"/>
      </x:font>
      <x:fill>
        <x:patternFill patternType="solid">
          <x:bgColor rgb="FF63BE7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0a7ef66251e4af8" /><Relationship Type="http://schemas.openxmlformats.org/officeDocument/2006/relationships/theme" Target="/xl/theme/theme1.xml" Id="R1736991f8458425f" /><Relationship Type="http://schemas.openxmlformats.org/officeDocument/2006/relationships/sharedStrings" Target="/xl/sharedStrings.xml" Id="R04b504558a074063" /><Relationship Type="http://schemas.openxmlformats.org/officeDocument/2006/relationships/worksheet" Target="/xl/worksheets/sheet1.xml" Id="R2c6975fa86224dad" /><Relationship Type="http://schemas.openxmlformats.org/officeDocument/2006/relationships/worksheet" Target="/xl/worksheets/sheet2.xml" Id="R0fb7723141a54875" /><Relationship Type="http://schemas.openxmlformats.org/officeDocument/2006/relationships/worksheet" Target="/xl/worksheets/sheet3.xml" Id="R2488c6bebb2f496b" /><Relationship Type="http://schemas.openxmlformats.org/officeDocument/2006/relationships/worksheet" Target="/xl/worksheets/sheet4.xml" Id="R9186cc887bbe4601" /><Relationship Type="http://schemas.openxmlformats.org/officeDocument/2006/relationships/worksheet" Target="/xl/worksheets/sheet5.xml" Id="Rde96bffb96c5411a" /></Relationships>
</file>

<file path=xl/drawings/_rels/drawing1.xml.rels>&#65279;<?xml version="1.0" encoding="utf-8"?><Relationships xmlns="http://schemas.openxmlformats.org/package/2006/relationships"><Relationship Type="http://schemas.openxmlformats.org/officeDocument/2006/relationships/chart" Target="/xl/drawings/charts/chart1.xml" Id="R2781002512624fa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Spools by Material Type</a:t>
            </a:r>
          </a:p>
        </c:rich>
      </c:tx>
      <c:overlay val="0"/>
    </c:title>
    <c:autoTitleDeleted val="0"/>
    <c:plotArea>
      <c:layout/>
      <c:barChart>
        <c:barDir val="col"/>
        <c:varyColors val="0"/>
        <c:ser>
          <c:idx val="0"/>
          <c:order val="0"/>
          <c:tx>
            <c:v>Spools</c:v>
          </c:tx>
          <c:cat>
            <c:strRef>
              <c:f>'Dashboard'!$A$16:$A$24</c:f>
              <c:strCache>
                <c:ptCount val="0"/>
              </c:strCache>
            </c:strRef>
          </c:cat>
          <c:val>
            <c:numRef>
              <c:f>'Dashboard'!$B$16:$B$24</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14</xdr:row>
      <xdr:rowOff>0</xdr:rowOff>
    </xdr:from>
    <xdr:to>
      <xdr:col>8</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81002512624fa6"/>
        </a:graphicData>
      </a:graphic>
    </xdr:graphicFrame>
    <xdr:clientData/>
  </xdr:twoCellAnchor>
</xdr:wsDr>
</file>

<file path=xl/tables/table1.xml><?xml version="1.0" encoding="utf-8"?>
<x:table xmlns:x="http://schemas.openxmlformats.org/spreadsheetml/2006/main" id="1" name="FilamentInventory" displayName="FilamentInventory" ref="A1:AH37" headerRowCount="1">
  <x:tableColumns count="34">
    <x:tableColumn id="1" name="Spool ID"/>
    <x:tableColumn id="2" name="Inventory Status"/>
    <x:tableColumn id="3" name="Material Type"/>
    <x:tableColumn id="4" name="Filler / Reinforcement"/>
    <x:tableColumn id="5" name="Finish / Effect"/>
    <x:tableColumn id="6" name="Color"/>
    <x:tableColumn id="7" name="Manufacturer"/>
    <x:tableColumn id="8" name="Product / Grade / Hardness"/>
    <x:tableColumn id="9" name="Preferred Brand"/>
    <x:tableColumn id="10" name="Diameter (mm)"/>
    <x:tableColumn id="11" name="Tolerance (mm)"/>
    <x:tableColumn id="12" name="Density (g/cm³)"/>
    <x:tableColumn id="13" name="Nominal Weight (g)"/>
    <x:tableColumn id="14" name="Empty Spool / Tare (g)"/>
    <x:tableColumn id="15" name="Current Gross Weight (g)"/>
    <x:tableColumn id="16" name="Remaining Filament (g)"/>
    <x:tableColumn id="17" name="Remaining %"/>
    <x:tableColumn id="18" name="Used Filament (g)"/>
    <x:tableColumn id="19" name="Est. Remaining Length (m)"/>
    <x:tableColumn id="20" name="Full Spool Weight (g)"/>
    <x:tableColumn id="21" name="Flow (%)"/>
    <x:tableColumn id="22" name="Nozzle Temp (°C)"/>
    <x:tableColumn id="23" name="Bed Temp (°C)"/>
    <x:tableColumn id="24" name="Chamber Temp (°C)"/>
    <x:tableColumn id="25" name="Retraction Distance (mm)"/>
    <x:tableColumn id="26" name="Retraction Speed (mm/s)"/>
    <x:tableColumn id="27" name="Pressure Advance"/>
    <x:tableColumn id="28" name="Purchase Source"/>
    <x:tableColumn id="29" name="Purchase Date"/>
    <x:tableColumn id="30" name="First Used"/>
    <x:tableColumn id="31" name="Last Used"/>
    <x:tableColumn id="32" name="Spool Cost"/>
    <x:tableColumn id="33" name="Cost / Gram"/>
    <x:tableColumn id="34" name="Notes"/>
  </x:tableColumns>
  <x:tableStyleInfo name="TableStyleMedium2" showRowStripes="1"/>
</x:table>
</file>

<file path=xl/tables/table2.xml><?xml version="1.0" encoding="utf-8"?>
<x:table xmlns:x="http://schemas.openxmlformats.org/spreadsheetml/2006/main" id="2" name="FilamentWishlist" displayName="FilamentWishlist" ref="A1:F5" headerRowCount="1">
  <x:tableColumns count="6">
    <x:tableColumn id="1" name="Material Type"/>
    <x:tableColumn id="2" name="Filler / Reinforcement"/>
    <x:tableColumn id="3" name="Finish / Effect"/>
    <x:tableColumn id="4" name="Color"/>
    <x:tableColumn id="5" name="Priority"/>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6c84cec34f44dc3" /></Relationships>
</file>

<file path=xl/worksheets/_rels/sheet2.xml.rels>&#65279;<?xml version="1.0" encoding="utf-8"?><Relationships xmlns="http://schemas.openxmlformats.org/package/2006/relationships"><Relationship Type="http://schemas.openxmlformats.org/officeDocument/2006/relationships/table" Target="/xl/tables/table1.xml" Id="R5940fb217f69454f" /></Relationships>
</file>

<file path=xl/worksheets/_rels/sheet4.xml.rels>&#65279;<?xml version="1.0" encoding="utf-8"?><Relationships xmlns="http://schemas.openxmlformats.org/package/2006/relationships"><Relationship Type="http://schemas.openxmlformats.org/officeDocument/2006/relationships/table" Target="/xl/tables/table2.xml" Id="Re7be6ec9cef044b1" /></Relationships>
</file>

<file path=xl/worksheets/sheet1.xml><?xml version="1.0" encoding="utf-8"?>
<x:worksheet xmlns:x="http://schemas.openxmlformats.org/spreadsheetml/2006/main">
  <x:sheetFormatPr defaultRowHeight="15"/>
  <x:cols>
    <x:col min="1" max="1" width="18"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4" customHeight="1">
      <x:c r="A1" s="84" t="str">
        <x:v>Filament Inventory Master</x:v>
      </x:c>
      <x:c r="B1" s="84"/>
      <x:c r="C1" s="84"/>
      <x:c r="D1" s="84"/>
      <x:c r="E1" s="84"/>
      <x:c r="F1" s="84"/>
      <x:c r="G1" s="84"/>
      <x:c r="H1" s="84"/>
    </x:row>
    <x:row r="3">
      <x:c r="A3" s="91" t="str">
        <x:v>Total Spools</x:v>
      </x:c>
      <x:c r="C3" s="91" t="str">
        <x:v>Spools Weighed</x:v>
      </x:c>
      <x:c r="E3" s="91" t="str">
        <x:v>Remaining Filament</x:v>
      </x:c>
      <x:c r="G3" s="91" t="str">
        <x:v>Inventory Cost</x:v>
      </x:c>
    </x:row>
    <x:row r="4">
      <x:c r="A4" s="104" t="n">
        <x:f>COUNTA(Inventory!A2:A1000)</x:f>
        <x:v>35</x:v>
      </x:c>
      <x:c r="C4" s="104" t="n">
        <x:f>COUNT(Inventory!P2:P1000)</x:f>
        <x:v>1</x:v>
      </x:c>
      <x:c r="E4" s="106" t="n">
        <x:f>SUM(Inventory!P2:P1000)/1000</x:f>
        <x:v>1</x:v>
      </x:c>
      <x:c r="G4" s="108" t="n">
        <x:f>SUM(Inventory!AF2:AF1000)</x:f>
        <x:v>663.8999999999999</x:v>
      </x:c>
    </x:row>
    <x:row r="6">
      <x:c r="A6" s="91" t="str">
        <x:v>Needs Weighing</x:v>
      </x:c>
      <x:c r="C6" s="91" t="str">
        <x:v>Low / Empty Spools</x:v>
      </x:c>
      <x:c r="E6" s="91" t="str">
        <x:v>Nominal Capacity</x:v>
      </x:c>
      <x:c r="G6" s="91" t="str">
        <x:v>Preferred Brands</x:v>
      </x:c>
    </x:row>
    <x:row r="7">
      <x:c r="A7" s="104" t="n">
        <x:f>COUNTIF(Inventory!B2:B1000,"Needs Weighing")</x:f>
        <x:v>34</x:v>
      </x:c>
      <x:c r="C7" s="104" t="n">
        <x:f>COUNTIF(Inventory!B2:B1000,"Low")+COUNTIF(Inventory!B2:B1000,"Empty")</x:f>
        <x:v>0</x:v>
      </x:c>
      <x:c r="E7" s="106" t="n">
        <x:f>SUM(Inventory!M2:M1000)/1000</x:f>
        <x:v>28.233</x:v>
      </x:c>
      <x:c r="G7" s="104" t="n">
        <x:f>COUNTIF(Inventory!I2:I1000,"Yes")</x:f>
        <x:v>7</x:v>
      </x:c>
    </x:row>
    <x:row r="9">
      <x:c r="A9" s="6" t="str">
        <x:v>How to Use the Weight-Based Inventory</x:v>
      </x:c>
      <x:c r="B9" s="6"/>
      <x:c r="C9" s="6"/>
      <x:c r="D9" s="6"/>
      <x:c r="E9" s="6"/>
      <x:c r="F9" s="6"/>
      <x:c r="G9" s="6"/>
      <x:c r="H9" s="6"/>
    </x:row>
    <x:row r="10">
      <x:c r="A10" s="114" t="str">
        <x:v>1. Enter the empty spool/tare weight in column N.  2. Weigh the current spool and enter the gross weight in column O.  Remaining grams, percentage, used grams, and estimated remaining length calculate automatically.  Yellow weight cells are inputs; blue-gray cells are calculated. Use the blank table row at the bottom to add a new spool.</x:v>
      </x:c>
      <x:c r="B10" s="115"/>
      <x:c r="C10" s="115"/>
      <x:c r="D10" s="115"/>
      <x:c r="E10" s="115"/>
      <x:c r="F10" s="115"/>
      <x:c r="G10" s="115"/>
      <x:c r="H10" s="116"/>
    </x:row>
    <x:row r="11">
      <x:c r="A11" s="117"/>
      <x:c r="B11" s="20"/>
      <x:c r="C11" s="20"/>
      <x:c r="D11" s="20"/>
      <x:c r="E11" s="20"/>
      <x:c r="F11" s="20"/>
      <x:c r="G11" s="20"/>
      <x:c r="H11" s="118"/>
    </x:row>
    <x:row r="12">
      <x:c r="A12" s="117"/>
      <x:c r="B12" s="20"/>
      <x:c r="C12" s="20"/>
      <x:c r="D12" s="20"/>
      <x:c r="E12" s="20"/>
      <x:c r="F12" s="20"/>
      <x:c r="G12" s="20"/>
      <x:c r="H12" s="118"/>
    </x:row>
    <x:row r="13">
      <x:c r="A13" s="119"/>
      <x:c r="B13" s="120"/>
      <x:c r="C13" s="120"/>
      <x:c r="D13" s="120"/>
      <x:c r="E13" s="120"/>
      <x:c r="F13" s="120"/>
      <x:c r="G13" s="120"/>
      <x:c r="H13" s="121"/>
    </x:row>
    <x:row r="15">
      <x:c r="A15" s="132" t="str">
        <x:v>Material Type</x:v>
      </x:c>
      <x:c r="B15" s="133" t="str">
        <x:v>Spools</x:v>
      </x:c>
    </x:row>
    <x:row r="16">
      <x:c r="A16" s="134" t="str">
        <x:v>ASA</x:v>
      </x:c>
      <x:c r="B16" s="135" t="n">
        <x:f>COUNTIF(Inventory!C2:C1000,A16)</x:f>
        <x:v>5</x:v>
      </x:c>
    </x:row>
    <x:row r="17">
      <x:c r="A17" s="134" t="str">
        <x:v>NYLON</x:v>
      </x:c>
      <x:c r="B17" s="135" t="n">
        <x:f>COUNTIF(Inventory!C2:C1000,A17)</x:f>
        <x:v>1</x:v>
      </x:c>
    </x:row>
    <x:row r="18">
      <x:c r="A18" s="134" t="str">
        <x:v>PCTPE</x:v>
      </x:c>
      <x:c r="B18" s="135" t="n">
        <x:f>COUNTIF(Inventory!C2:C1000,A18)</x:f>
        <x:v>1</x:v>
      </x:c>
    </x:row>
    <x:row r="19">
      <x:c r="A19" s="134" t="str">
        <x:v>PETG</x:v>
      </x:c>
      <x:c r="B19" s="135" t="n">
        <x:f>COUNTIF(Inventory!C2:C1000,A19)</x:f>
        <x:v>6</x:v>
      </x:c>
    </x:row>
    <x:row r="20">
      <x:c r="A20" s="134" t="str">
        <x:v>PLA</x:v>
      </x:c>
      <x:c r="B20" s="135" t="n">
        <x:f>COUNTIF(Inventory!C2:C1000,A20)</x:f>
        <x:v>14</x:v>
      </x:c>
    </x:row>
    <x:row r="21">
      <x:c r="A21" s="134" t="str">
        <x:v>PLA+</x:v>
      </x:c>
      <x:c r="B21" s="135" t="n">
        <x:f>COUNTIF(Inventory!C2:C1000,A21)</x:f>
        <x:v>3</x:v>
      </x:c>
    </x:row>
    <x:row r="22">
      <x:c r="A22" s="134" t="str">
        <x:v>PP</x:v>
      </x:c>
      <x:c r="B22" s="135" t="n">
        <x:f>COUNTIF(Inventory!C2:C1000,A22)</x:f>
        <x:v>1</x:v>
      </x:c>
    </x:row>
    <x:row r="23">
      <x:c r="A23" s="134" t="str">
        <x:v>SPLA</x:v>
      </x:c>
      <x:c r="B23" s="135" t="n">
        <x:f>COUNTIF(Inventory!C2:C1000,A23)</x:f>
        <x:v>2</x:v>
      </x:c>
    </x:row>
    <x:row r="24">
      <x:c r="A24" s="136" t="str">
        <x:v>TPU</x:v>
      </x:c>
      <x:c r="B24" s="137" t="n">
        <x:f>COUNTIF(Inventory!C2:C1000,A24)</x:f>
        <x:v>2</x:v>
      </x:c>
    </x:row>
    <x:row r="26">
      <x:c r="A26" s="6" t="str">
        <x:v>Inventory Status</x:v>
      </x:c>
      <x:c r="B26" s="6" t="str">
        <x:v>Spools</x:v>
      </x:c>
    </x:row>
    <x:row r="27">
      <x:c r="A27" t="str">
        <x:v>Needs Weighing</x:v>
      </x:c>
      <x:c r="B27" s="130" t="n">
        <x:f>COUNTIF(Inventory!B2:B1000,A27)</x:f>
        <x:v>34</x:v>
      </x:c>
    </x:row>
    <x:row r="28">
      <x:c r="A28" t="str">
        <x:v>In Stock</x:v>
      </x:c>
      <x:c r="B28" s="130" t="n">
        <x:f>COUNTIF(Inventory!B2:B1000,A28)</x:f>
        <x:v>1</x:v>
      </x:c>
    </x:row>
    <x:row r="29">
      <x:c r="A29" t="str">
        <x:v>Low</x:v>
      </x:c>
      <x:c r="B29" s="130" t="n">
        <x:f>COUNTIF(Inventory!B2:B1000,A29)</x:f>
        <x:v>0</x:v>
      </x:c>
    </x:row>
    <x:row r="30">
      <x:c r="A30" t="str">
        <x:v>Empty</x:v>
      </x:c>
      <x:c r="B30" s="130" t="n">
        <x:f>COUNTIF(Inventory!B2:B1000,A30)</x:f>
        <x:v>0</x:v>
      </x:c>
    </x:row>
    <x:row r="33">
      <x:c r="A33" s="6" t="str">
        <x:v>Filament Preferences from the Original Workbook</x:v>
      </x:c>
      <x:c r="B33" s="6"/>
      <x:c r="C33" s="6"/>
      <x:c r="D33" s="6"/>
      <x:c r="E33" s="6"/>
      <x:c r="F33" s="6"/>
      <x:c r="G33" s="6"/>
      <x:c r="H33" s="6"/>
    </x:row>
    <x:row r="34">
      <x:c r="A34" s="146" t="str">
        <x:v>• Prefer PLA+ over PLA; no need for PLA or SPLA anymore.
• Prefer ASA over PLA+ and PETG, especially for outdoor parts.</x:v>
      </x:c>
      <x:c r="B34" s="146"/>
      <x:c r="C34" s="146"/>
      <x:c r="D34" s="146"/>
      <x:c r="E34" s="146"/>
      <x:c r="F34" s="146"/>
      <x:c r="G34" s="146"/>
      <x:c r="H34" s="146"/>
    </x:row>
    <x:row r="35">
      <x:c r="A35" s="146"/>
      <x:c r="B35" s="146"/>
      <x:c r="C35" s="146"/>
      <x:c r="D35" s="146"/>
      <x:c r="E35" s="146"/>
      <x:c r="F35" s="146"/>
      <x:c r="G35" s="146"/>
      <x:c r="H35" s="146"/>
    </x:row>
    <x:row r="36">
      <x:c r="A36" s="146"/>
      <x:c r="B36" s="146"/>
      <x:c r="C36" s="146"/>
      <x:c r="D36" s="146"/>
      <x:c r="E36" s="146"/>
      <x:c r="F36" s="146"/>
      <x:c r="G36" s="146"/>
      <x:c r="H36" s="146"/>
    </x:row>
  </x:sheetData>
  <x:mergeCells>
    <x:mergeCell ref="A1:H1"/>
    <x:mergeCell ref="A3:B3"/>
    <x:mergeCell ref="A4:B4"/>
    <x:mergeCell ref="C3:D3"/>
    <x:mergeCell ref="C4:D4"/>
    <x:mergeCell ref="E3:F3"/>
    <x:mergeCell ref="E4:F4"/>
    <x:mergeCell ref="G3:H3"/>
    <x:mergeCell ref="G4:H4"/>
    <x:mergeCell ref="A6:B6"/>
    <x:mergeCell ref="A7:B7"/>
    <x:mergeCell ref="C6:D6"/>
    <x:mergeCell ref="C7:D7"/>
    <x:mergeCell ref="E6:F6"/>
    <x:mergeCell ref="E7:F7"/>
    <x:mergeCell ref="G6:H6"/>
    <x:mergeCell ref="G7:H7"/>
    <x:mergeCell ref="A9:H9"/>
    <x:mergeCell ref="A10:H13"/>
    <x:mergeCell ref="A33:H33"/>
    <x:mergeCell ref="A34:H36"/>
  </x:mergeCells>
  <x:pageMargins left="0.7" right="0.7" top="0.75" bottom="0.75" header="0.3" footer="0.3"/>
  <x:drawing xmlns:r="http://schemas.openxmlformats.org/officeDocument/2006/relationships" r:id="Re6c84cec34f44dc3"/>
</x:worksheet>
</file>

<file path=xl/worksheets/sheet2.xml><?xml version="1.0" encoding="utf-8"?>
<x:worksheet xmlns:x="http://schemas.openxmlformats.org/spreadsheetml/2006/main">
  <x:sheetFormatPr defaultRowHeight="15"/>
  <x:cols>
    <x:col min="1" max="1" width="12" hidden="0" customWidth="1"/>
    <x:col min="2" max="2" width="16" hidden="0" customWidth="1"/>
    <x:col min="3" max="3" width="14" hidden="0" customWidth="1"/>
    <x:col min="4" max="4" width="22" hidden="0" customWidth="1"/>
    <x:col min="5" max="5" width="18" hidden="0" customWidth="1"/>
    <x:col min="6" max="6" width="15" hidden="0" customWidth="1"/>
    <x:col min="7" max="7" width="18" hidden="0" customWidth="1"/>
    <x:col min="8" max="8" width="25" hidden="0" customWidth="1"/>
    <x:col min="9" max="9" width="13" hidden="0" customWidth="1"/>
    <x:col min="10" max="10" width="12" hidden="0" customWidth="1"/>
    <x:col min="11" max="11" width="12" hidden="0" customWidth="1"/>
    <x:col min="12" max="12" width="13" hidden="0" customWidth="1"/>
    <x:col min="13" max="13" width="15" hidden="0" customWidth="1"/>
    <x:col min="14" max="14" width="18" hidden="0" customWidth="1"/>
    <x:col min="15" max="15" width="20" hidden="0" customWidth="1"/>
    <x:col min="16" max="16" width="18" hidden="0" customWidth="1"/>
    <x:col min="17" max="17" width="12" hidden="0" customWidth="1"/>
    <x:col min="18" max="18" width="16" hidden="0" customWidth="1"/>
    <x:col min="19" max="19" width="21" hidden="0" customWidth="1"/>
    <x:col min="20" max="20" width="18" hidden="0" customWidth="1"/>
    <x:col min="21" max="21" width="11" hidden="0" customWidth="1"/>
    <x:col min="22" max="22" width="14" hidden="0" customWidth="1"/>
    <x:col min="23" max="23" width="12" hidden="0" customWidth="1"/>
    <x:col min="24" max="24" width="15" hidden="0" customWidth="1"/>
    <x:col min="25" max="25" width="20" hidden="0" customWidth="1"/>
    <x:col min="26" max="26" width="21" hidden="0" customWidth="1"/>
    <x:col min="27" max="27" width="16" hidden="0" customWidth="1"/>
    <x:col min="28" max="28" width="16" hidden="0" customWidth="1"/>
    <x:col min="29" max="29" width="14" hidden="0" customWidth="1"/>
    <x:col min="30" max="30" width="18" hidden="0" customWidth="1"/>
    <x:col min="31" max="31" width="18" hidden="0" customWidth="1"/>
    <x:col min="32" max="32" width="12" hidden="0" customWidth="1"/>
    <x:col min="33" max="33" width="13" hidden="0" customWidth="1"/>
    <x:col min="34" max="34" width="34" hidden="0" customWidth="1"/>
  </x:cols>
  <x:sheetData>
    <x:row r="1" ht="34" customHeight="1">
      <x:c r="A1" s="6" t="str">
        <x:v>Spool ID</x:v>
      </x:c>
      <x:c r="B1" s="6" t="str">
        <x:v>Inventory Status</x:v>
      </x:c>
      <x:c r="C1" s="6" t="str">
        <x:v>Material Type</x:v>
      </x:c>
      <x:c r="D1" s="6" t="str">
        <x:v>Filler / Reinforcement</x:v>
      </x:c>
      <x:c r="E1" s="6" t="str">
        <x:v>Finish / Effect</x:v>
      </x:c>
      <x:c r="F1" s="6" t="str">
        <x:v>Color</x:v>
      </x:c>
      <x:c r="G1" s="6" t="str">
        <x:v>Manufacturer</x:v>
      </x:c>
      <x:c r="H1" s="6" t="str">
        <x:v>Product / Grade / Hardness</x:v>
      </x:c>
      <x:c r="I1" s="6" t="str">
        <x:v>Preferred Brand</x:v>
      </x:c>
      <x:c r="J1" s="6" t="str">
        <x:v>Diameter (mm)</x:v>
      </x:c>
      <x:c r="K1" s="6" t="str">
        <x:v>Tolerance (mm)</x:v>
      </x:c>
      <x:c r="L1" s="6" t="str">
        <x:v>Density (g/cm³)</x:v>
      </x:c>
      <x:c r="M1" s="6" t="str">
        <x:v>Nominal Weight (g)</x:v>
      </x:c>
      <x:c r="N1" s="46" t="str">
        <x:v>Empty Spool / Tare (g)</x:v>
      </x:c>
      <x:c r="O1" s="47" t="str">
        <x:v>Current Gross Weight (g)</x:v>
      </x:c>
      <x:c r="P1" s="46" t="str">
        <x:v>Remaining Filament (g)</x:v>
      </x:c>
      <x:c r="Q1" s="58" t="str">
        <x:v>Remaining %</x:v>
      </x:c>
      <x:c r="R1" s="58" t="str">
        <x:v>Used Filament (g)</x:v>
      </x:c>
      <x:c r="S1" s="58" t="str">
        <x:v>Est. Remaining Length (m)</x:v>
      </x:c>
      <x:c r="T1" s="47" t="str">
        <x:v>Full Spool Weight (g)</x:v>
      </x:c>
      <x:c r="U1" s="6" t="str">
        <x:v>Flow (%)</x:v>
      </x:c>
      <x:c r="V1" s="6" t="str">
        <x:v>Nozzle Temp (°C)</x:v>
      </x:c>
      <x:c r="W1" s="6" t="str">
        <x:v>Bed Temp (°C)</x:v>
      </x:c>
      <x:c r="X1" s="6" t="str">
        <x:v>Chamber Temp (°C)</x:v>
      </x:c>
      <x:c r="Y1" s="6" t="str">
        <x:v>Retraction Distance (mm)</x:v>
      </x:c>
      <x:c r="Z1" s="6" t="str">
        <x:v>Retraction Speed (mm/s)</x:v>
      </x:c>
      <x:c r="AA1" s="6" t="str">
        <x:v>Pressure Advance</x:v>
      </x:c>
      <x:c r="AB1" s="6" t="str">
        <x:v>Purchase Source</x:v>
      </x:c>
      <x:c r="AC1" s="6" t="str">
        <x:v>Purchase Date</x:v>
      </x:c>
      <x:c r="AD1" s="6" t="str">
        <x:v>First Used</x:v>
      </x:c>
      <x:c r="AE1" s="6" t="str">
        <x:v>Last Used</x:v>
      </x:c>
      <x:c r="AF1" s="6" t="str">
        <x:v>Spool Cost</x:v>
      </x:c>
      <x:c r="AG1" s="6" t="str">
        <x:v>Cost / Gram</x:v>
      </x:c>
      <x:c r="AH1" s="6" t="str">
        <x:v>Notes</x:v>
      </x:c>
    </x:row>
    <x:row r="2">
      <x:c r="A2" s="14" t="str">
        <x:v>AS1</x:v>
      </x:c>
      <x:c r="B2" s="16" t="str">
        <x:f>IF(A2="","",IF(OR(M2="",N2="",O2=""),"Needs Weighing",IF(MAX(0,O2-N2)&lt;=0,"Empty",IF(MAX(0,O2-N2)/M2&lt;0.25,"Low","In Stock"))))</x:f>
        <x:v>Needs Weighing</x:v>
      </x:c>
      <x:c r="C2" s="14" t="str">
        <x:v>ASA</x:v>
      </x:c>
      <x:c r="D2" s="14" t="str">
        <x:v>None</x:v>
      </x:c>
      <x:c r="E2" s="14" t="str">
        <x:v>Standard</x:v>
      </x:c>
      <x:c r="F2" s="14" t="str">
        <x:v>Black</x:v>
      </x:c>
      <x:c r="G2" s="14" t="str">
        <x:v>3D Best-Q</x:v>
      </x:c>
      <x:c r="H2" s="14"/>
      <x:c r="I2" s="14" t="str">
        <x:v>No</x:v>
      </x:c>
      <x:c r="J2" s="22" t="n">
        <x:v>1.75</x:v>
      </x:c>
      <x:c r="K2" s="22" t="n">
        <x:v>0.05</x:v>
      </x:c>
      <x:c r="L2" s="22" t="n">
        <x:v>1.07</x:v>
      </x:c>
      <x:c r="M2" s="22" t="n">
        <x:v>1000</x:v>
      </x:c>
      <x:c r="N2" s="48"/>
      <x:c r="O2" s="49"/>
      <x:c r="P2" s="59" t="str">
        <x:f>IF(OR(M2="",N2="",O2=""),"",MAX(0,O2-N2))</x:f>
      </x:c>
      <x:c r="Q2" s="28" t="str">
        <x:f>IF(OR(M2="",P2=""),"",MIN(1,MAX(0,P2/M2)))</x:f>
      </x:c>
      <x:c r="R2" s="26" t="str">
        <x:f>IF(OR(M2="",P2=""),"",MAX(0,M2-P2))</x:f>
      </x:c>
      <x:c r="S2" s="30" t="str">
        <x:f>IF(OR(P2="",L2="",J2=""),"",P2/(L2*PI()*(J2/2)^2))</x:f>
      </x:c>
      <x:c r="T2" s="60" t="str">
        <x:f>IF(OR(M2="",N2=""),"",M2+N2)</x:f>
      </x:c>
      <x:c r="U2" s="32" t="n">
        <x:v>100</x:v>
      </x:c>
      <x:c r="V2" s="34" t="n">
        <x:v>250</x:v>
      </x:c>
      <x:c r="W2" s="34" t="n">
        <x:v>100</x:v>
      </x:c>
      <x:c r="X2" s="34" t="n">
        <x:v>40</x:v>
      </x:c>
      <x:c r="Y2" s="22" t="n">
        <x:v>0.75</x:v>
      </x:c>
      <x:c r="Z2" s="22" t="n">
        <x:v>70</x:v>
      </x:c>
      <x:c r="AA2" s="36"/>
      <x:c r="AB2" s="14" t="str">
        <x:v>Amazon</x:v>
      </x:c>
      <x:c r="AC2" s="38" t="n">
        <x:v>44271.001388888886</x:v>
      </x:c>
      <x:c r="AD2" s="40" t="n">
        <x:v>44635.88125</x:v>
      </x:c>
      <x:c r="AE2" s="40" t="n">
        <x:v>44650.904861111114</x:v>
      </x:c>
      <x:c r="AF2" s="42" t="n">
        <x:v>27</x:v>
      </x:c>
      <x:c r="AG2" s="44" t="n">
        <x:f>IF(OR(AF2="",M2=""),"",AF2/M2)</x:f>
        <x:v>0.027</x:v>
      </x:c>
      <x:c r="AH2" s="14"/>
    </x:row>
    <x:row r="3">
      <x:c r="A3" s="14" t="str">
        <x:v>AS3</x:v>
      </x:c>
      <x:c r="B3" s="16" t="str">
        <x:f>IF(A3="","",IF(OR(M3="",N3="",O3=""),"Needs Weighing",IF(MAX(0,O3-N3)&lt;=0,"Empty",IF(MAX(0,O3-N3)/M3&lt;0.25,"Low","In Stock"))))</x:f>
        <x:v>Needs Weighing</x:v>
      </x:c>
      <x:c r="C3" s="14" t="str">
        <x:v>ASA</x:v>
      </x:c>
      <x:c r="D3" s="14" t="str">
        <x:v>None</x:v>
      </x:c>
      <x:c r="E3" s="14" t="str">
        <x:v>Standard</x:v>
      </x:c>
      <x:c r="F3" s="14" t="str">
        <x:v>Black</x:v>
      </x:c>
      <x:c r="G3" s="14" t="str">
        <x:v>3D Best-Q</x:v>
      </x:c>
      <x:c r="H3" s="14"/>
      <x:c r="I3" s="14" t="str">
        <x:v>No</x:v>
      </x:c>
      <x:c r="J3" s="22" t="n">
        <x:v>1.75</x:v>
      </x:c>
      <x:c r="K3" s="22" t="n">
        <x:v>0.05</x:v>
      </x:c>
      <x:c r="L3" s="22" t="n">
        <x:v>1.07</x:v>
      </x:c>
      <x:c r="M3" s="22" t="n">
        <x:v>1000</x:v>
      </x:c>
      <x:c r="N3" s="48"/>
      <x:c r="O3" s="49"/>
      <x:c r="P3" s="59" t="str">
        <x:f>IF(OR(M3="",N3="",O3=""),"",MAX(0,O3-N3))</x:f>
      </x:c>
      <x:c r="Q3" s="28" t="str">
        <x:f>IF(OR(M3="",P3=""),"",MIN(1,MAX(0,P3/M3)))</x:f>
      </x:c>
      <x:c r="R3" s="26" t="str">
        <x:f>IF(OR(M3="",P3=""),"",MAX(0,M3-P3))</x:f>
      </x:c>
      <x:c r="S3" s="30" t="str">
        <x:f>IF(OR(P3="",L3="",J3=""),"",P3/(L3*PI()*(J3/2)^2))</x:f>
      </x:c>
      <x:c r="T3" s="60" t="str">
        <x:f>IF(OR(M3="",N3=""),"",M3+N3)</x:f>
      </x:c>
      <x:c r="U3" s="32" t="n">
        <x:v>100</x:v>
      </x:c>
      <x:c r="V3" s="34" t="n">
        <x:v>250</x:v>
      </x:c>
      <x:c r="W3" s="34" t="n">
        <x:v>100</x:v>
      </x:c>
      <x:c r="X3" s="34" t="n">
        <x:v>40</x:v>
      </x:c>
      <x:c r="Y3" s="22" t="n">
        <x:v>0.75</x:v>
      </x:c>
      <x:c r="Z3" s="22" t="n">
        <x:v>70</x:v>
      </x:c>
      <x:c r="AA3" s="36"/>
      <x:c r="AB3" s="14" t="str">
        <x:v>Amazon</x:v>
      </x:c>
      <x:c r="AC3" s="38" t="n">
        <x:v>44271.00069444445</x:v>
      </x:c>
      <x:c r="AD3" s="40"/>
      <x:c r="AE3" s="40"/>
      <x:c r="AF3" s="42" t="n">
        <x:v>27</x:v>
      </x:c>
      <x:c r="AG3" s="44" t="n">
        <x:f>IF(OR(AF3="",M3=""),"",AF3/M3)</x:f>
        <x:v>0.027</x:v>
      </x:c>
      <x:c r="AH3" s="14"/>
    </x:row>
    <x:row r="4">
      <x:c r="A4" s="14" t="str">
        <x:v>AS2</x:v>
      </x:c>
      <x:c r="B4" s="16" t="str">
        <x:f>IF(A4="","",IF(OR(M4="",N4="",O4=""),"Needs Weighing",IF(MAX(0,O4-N4)&lt;=0,"Empty",IF(MAX(0,O4-N4)/M4&lt;0.25,"Low","In Stock"))))</x:f>
        <x:v>Needs Weighing</x:v>
      </x:c>
      <x:c r="C4" s="14" t="str">
        <x:v>ASA</x:v>
      </x:c>
      <x:c r="D4" s="14" t="str">
        <x:v>None</x:v>
      </x:c>
      <x:c r="E4" s="14" t="str">
        <x:v>Standard</x:v>
      </x:c>
      <x:c r="F4" s="14" t="str">
        <x:v>Light Gray</x:v>
      </x:c>
      <x:c r="G4" s="14" t="str">
        <x:v>Polymaker</x:v>
      </x:c>
      <x:c r="H4" s="14"/>
      <x:c r="I4" s="14" t="str">
        <x:v>Yes</x:v>
      </x:c>
      <x:c r="J4" s="22" t="n">
        <x:v>1.75</x:v>
      </x:c>
      <x:c r="K4" s="22" t="n">
        <x:v>0.02</x:v>
      </x:c>
      <x:c r="L4" s="22" t="n">
        <x:v>1.07</x:v>
      </x:c>
      <x:c r="M4" s="22" t="n">
        <x:v>1000</x:v>
      </x:c>
      <x:c r="N4" s="48"/>
      <x:c r="O4" s="49"/>
      <x:c r="P4" s="59" t="str">
        <x:f>IF(OR(M4="",N4="",O4=""),"",MAX(0,O4-N4))</x:f>
      </x:c>
      <x:c r="Q4" s="28" t="str">
        <x:f>IF(OR(M4="",P4=""),"",MIN(1,MAX(0,P4/M4)))</x:f>
      </x:c>
      <x:c r="R4" s="26" t="str">
        <x:f>IF(OR(M4="",P4=""),"",MAX(0,M4-P4))</x:f>
      </x:c>
      <x:c r="S4" s="30" t="str">
        <x:f>IF(OR(P4="",L4="",J4=""),"",P4/(L4*PI()*(J4/2)^2))</x:f>
      </x:c>
      <x:c r="T4" s="60" t="str">
        <x:f>IF(OR(M4="",N4=""),"",M4+N4)</x:f>
      </x:c>
      <x:c r="U4" s="32" t="n">
        <x:v>100</x:v>
      </x:c>
      <x:c r="V4" s="34" t="n">
        <x:v>250</x:v>
      </x:c>
      <x:c r="W4" s="34" t="n">
        <x:v>100</x:v>
      </x:c>
      <x:c r="X4" s="34" t="n">
        <x:v>40</x:v>
      </x:c>
      <x:c r="Y4" s="22" t="n">
        <x:v>0.75</x:v>
      </x:c>
      <x:c r="Z4" s="22" t="n">
        <x:v>70</x:v>
      </x:c>
      <x:c r="AA4" s="36"/>
      <x:c r="AB4" s="14" t="str">
        <x:v>Amazon</x:v>
      </x:c>
      <x:c r="AC4" s="38" t="n">
        <x:v>44271.00208333333</x:v>
      </x:c>
      <x:c r="AD4" s="40" t="n">
        <x:v>44647.94097222222</x:v>
      </x:c>
      <x:c r="AE4" s="40" t="n">
        <x:v>44648.12708333333</x:v>
      </x:c>
      <x:c r="AF4" s="42" t="n">
        <x:v>30</x:v>
      </x:c>
      <x:c r="AG4" s="44" t="n">
        <x:f>IF(OR(AF4="",M4=""),"",AF4/M4)</x:f>
        <x:v>0.03</x:v>
      </x:c>
      <x:c r="AH4" s="14"/>
    </x:row>
    <x:row r="5">
      <x:c r="A5" s="14" t="str">
        <x:v>AS4</x:v>
      </x:c>
      <x:c r="B5" s="16" t="str">
        <x:f>IF(A5="","",IF(OR(M5="",N5="",O5=""),"Needs Weighing",IF(MAX(0,O5-N5)&lt;=0,"Empty",IF(MAX(0,O5-N5)/M5&lt;0.25,"Low","In Stock"))))</x:f>
        <x:v>Needs Weighing</x:v>
      </x:c>
      <x:c r="C5" s="14" t="str">
        <x:v>ASA</x:v>
      </x:c>
      <x:c r="D5" s="14" t="str">
        <x:v>None</x:v>
      </x:c>
      <x:c r="E5" s="14" t="str">
        <x:v>Standard</x:v>
      </x:c>
      <x:c r="F5" s="14" t="str">
        <x:v>Military Green</x:v>
      </x:c>
      <x:c r="G5" s="14"/>
      <x:c r="H5" s="14"/>
      <x:c r="I5" s="14" t="str">
        <x:v>No</x:v>
      </x:c>
      <x:c r="J5" s="22" t="n">
        <x:v>1.75</x:v>
      </x:c>
      <x:c r="K5" s="22" t="n">
        <x:v>0.05</x:v>
      </x:c>
      <x:c r="L5" s="22" t="n">
        <x:v>1.07</x:v>
      </x:c>
      <x:c r="M5" s="22" t="n">
        <x:v>1000</x:v>
      </x:c>
      <x:c r="N5" s="48"/>
      <x:c r="O5" s="49"/>
      <x:c r="P5" s="59" t="str">
        <x:f>IF(OR(M5="",N5="",O5=""),"",MAX(0,O5-N5))</x:f>
      </x:c>
      <x:c r="Q5" s="28" t="str">
        <x:f>IF(OR(M5="",P5=""),"",MIN(1,MAX(0,P5/M5)))</x:f>
      </x:c>
      <x:c r="R5" s="26" t="str">
        <x:f>IF(OR(M5="",P5=""),"",MAX(0,M5-P5))</x:f>
      </x:c>
      <x:c r="S5" s="30" t="str">
        <x:f>IF(OR(P5="",L5="",J5=""),"",P5/(L5*PI()*(J5/2)^2))</x:f>
      </x:c>
      <x:c r="T5" s="60" t="str">
        <x:f>IF(OR(M5="",N5=""),"",M5+N5)</x:f>
      </x:c>
      <x:c r="U5" s="32" t="n">
        <x:v>100</x:v>
      </x:c>
      <x:c r="V5" s="34" t="n">
        <x:v>250</x:v>
      </x:c>
      <x:c r="W5" s="34" t="n">
        <x:v>100</x:v>
      </x:c>
      <x:c r="X5" s="34" t="n">
        <x:v>40</x:v>
      </x:c>
      <x:c r="Y5" s="22" t="n">
        <x:v>0.75</x:v>
      </x:c>
      <x:c r="Z5" s="22" t="n">
        <x:v>70</x:v>
      </x:c>
      <x:c r="AA5" s="36"/>
      <x:c r="AB5" s="14" t="str">
        <x:v>Amazon</x:v>
      </x:c>
      <x:c r="AC5" s="38" t="n">
        <x:v>44271.00069444445</x:v>
      </x:c>
      <x:c r="AD5" s="40"/>
      <x:c r="AE5" s="40"/>
      <x:c r="AF5" s="42" t="n">
        <x:v>27</x:v>
      </x:c>
      <x:c r="AG5" s="44" t="n">
        <x:f>IF(OR(AF5="",M5=""),"",AF5/M5)</x:f>
        <x:v>0.027</x:v>
      </x:c>
      <x:c r="AH5" s="14"/>
    </x:row>
    <x:row r="6">
      <x:c r="A6" s="14" t="str">
        <x:v>AS5</x:v>
      </x:c>
      <x:c r="B6" s="16" t="str">
        <x:f>IF(A6="","",IF(OR(M6="",N6="",O6=""),"Needs Weighing",IF(MAX(0,O6-N6)&lt;=0,"Empty",IF(MAX(0,O6-N6)/M6&lt;0.25,"Low","In Stock"))))</x:f>
        <x:v>Needs Weighing</x:v>
      </x:c>
      <x:c r="C6" s="14" t="str">
        <x:v>ASA</x:v>
      </x:c>
      <x:c r="D6" s="14" t="str">
        <x:v>Carbon Fiber</x:v>
      </x:c>
      <x:c r="E6" s="14" t="str">
        <x:v>Standard</x:v>
      </x:c>
      <x:c r="F6" s="14" t="str">
        <x:v>Marsala</x:v>
      </x:c>
      <x:c r="G6" s="14" t="str">
        <x:v>VOXELAB</x:v>
      </x:c>
      <x:c r="H6" s="14"/>
      <x:c r="I6" s="14" t="str">
        <x:v>No</x:v>
      </x:c>
      <x:c r="J6" s="22" t="n">
        <x:v>1.75</x:v>
      </x:c>
      <x:c r="K6" s="22" t="n">
        <x:v>0.05</x:v>
      </x:c>
      <x:c r="L6" s="22" t="n">
        <x:v>1.07</x:v>
      </x:c>
      <x:c r="M6" s="22" t="n">
        <x:v>1000</x:v>
      </x:c>
      <x:c r="N6" s="48"/>
      <x:c r="O6" s="49"/>
      <x:c r="P6" s="59" t="str">
        <x:f>IF(OR(M6="",N6="",O6=""),"",MAX(0,O6-N6))</x:f>
      </x:c>
      <x:c r="Q6" s="28" t="str">
        <x:f>IF(OR(M6="",P6=""),"",MIN(1,MAX(0,P6/M6)))</x:f>
      </x:c>
      <x:c r="R6" s="26" t="str">
        <x:f>IF(OR(M6="",P6=""),"",MAX(0,M6-P6))</x:f>
      </x:c>
      <x:c r="S6" s="30" t="str">
        <x:f>IF(OR(P6="",L6="",J6=""),"",P6/(L6*PI()*(J6/2)^2))</x:f>
      </x:c>
      <x:c r="T6" s="60" t="str">
        <x:f>IF(OR(M6="",N6=""),"",M6+N6)</x:f>
      </x:c>
      <x:c r="U6" s="32" t="n">
        <x:v>100</x:v>
      </x:c>
      <x:c r="V6" s="34" t="n">
        <x:v>250</x:v>
      </x:c>
      <x:c r="W6" s="34" t="n">
        <x:v>100</x:v>
      </x:c>
      <x:c r="X6" s="34" t="n">
        <x:v>40</x:v>
      </x:c>
      <x:c r="Y6" s="22" t="n">
        <x:v>0.75</x:v>
      </x:c>
      <x:c r="Z6" s="22" t="n">
        <x:v>70</x:v>
      </x:c>
      <x:c r="AA6" s="36"/>
      <x:c r="AB6" s="14" t="str">
        <x:v>Amazon</x:v>
      </x:c>
      <x:c r="AC6" s="38" t="n">
        <x:v>44271.00069444445</x:v>
      </x:c>
      <x:c r="AD6" s="40"/>
      <x:c r="AE6" s="40"/>
      <x:c r="AF6" s="42" t="n">
        <x:v>27</x:v>
      </x:c>
      <x:c r="AG6" s="44" t="n">
        <x:f>IF(OR(AF6="",M6=""),"",AF6/M6)</x:f>
        <x:v>0.027</x:v>
      </x:c>
      <x:c r="AH6" s="14"/>
    </x:row>
    <x:row r="7">
      <x:c r="A7" s="14" t="str">
        <x:v>N1</x:v>
      </x:c>
      <x:c r="B7" s="16" t="str">
        <x:f>IF(A7="","",IF(OR(M7="",N7="",O7=""),"Needs Weighing",IF(MAX(0,O7-N7)&lt;=0,"Empty",IF(MAX(0,O7-N7)/M7&lt;0.25,"Low","In Stock"))))</x:f>
        <x:v>Needs Weighing</x:v>
      </x:c>
      <x:c r="C7" s="14" t="str">
        <x:v>NYLON</x:v>
      </x:c>
      <x:c r="D7" s="14" t="str">
        <x:v>None</x:v>
      </x:c>
      <x:c r="E7" s="14" t="str">
        <x:v>Standard</x:v>
      </x:c>
      <x:c r="F7" s="14" t="str">
        <x:v>Black</x:v>
      </x:c>
      <x:c r="G7" s="14" t="str">
        <x:v>TAULMAN</x:v>
      </x:c>
      <x:c r="H7" s="14" t="str">
        <x:v>645 (PA6)</x:v>
      </x:c>
      <x:c r="I7" s="14" t="str">
        <x:v>Yes</x:v>
      </x:c>
      <x:c r="J7" s="22" t="n">
        <x:v>1.75</x:v>
      </x:c>
      <x:c r="K7" s="22" t="n">
        <x:v>0.02</x:v>
      </x:c>
      <x:c r="L7" s="22" t="n">
        <x:v>1.52</x:v>
      </x:c>
      <x:c r="M7" s="22" t="n">
        <x:v>454</x:v>
      </x:c>
      <x:c r="N7" s="48"/>
      <x:c r="O7" s="49"/>
      <x:c r="P7" s="59" t="str">
        <x:f>IF(OR(M7="",N7="",O7=""),"",MAX(0,O7-N7))</x:f>
      </x:c>
      <x:c r="Q7" s="28" t="str">
        <x:f>IF(OR(M7="",P7=""),"",MIN(1,MAX(0,P7/M7)))</x:f>
      </x:c>
      <x:c r="R7" s="26" t="str">
        <x:f>IF(OR(M7="",P7=""),"",MAX(0,M7-P7))</x:f>
      </x:c>
      <x:c r="S7" s="30" t="str">
        <x:f>IF(OR(P7="",L7="",J7=""),"",P7/(L7*PI()*(J7/2)^2))</x:f>
      </x:c>
      <x:c r="T7" s="60" t="str">
        <x:f>IF(OR(M7="",N7=""),"",M7+N7)</x:f>
      </x:c>
      <x:c r="U7" s="32" t="n">
        <x:v>100</x:v>
      </x:c>
      <x:c r="V7" s="34" t="n">
        <x:v>270</x:v>
      </x:c>
      <x:c r="W7" s="34" t="n">
        <x:v>80</x:v>
      </x:c>
      <x:c r="X7" s="34" t="n">
        <x:v>50</x:v>
      </x:c>
      <x:c r="Y7" s="22" t="n">
        <x:v>0.75</x:v>
      </x:c>
      <x:c r="Z7" s="22" t="n">
        <x:v>70</x:v>
      </x:c>
      <x:c r="AA7" s="36"/>
      <x:c r="AB7" s="14" t="str">
        <x:v>Amazon</x:v>
      </x:c>
      <x:c r="AC7" s="38" t="n">
        <x:v>44271</x:v>
      </x:c>
      <x:c r="AD7" s="40" t="n">
        <x:v>44339.770833333336</x:v>
      </x:c>
      <x:c r="AE7" s="40" t="n">
        <x:v>44339.876388888886</x:v>
      </x:c>
      <x:c r="AF7" s="42" t="n">
        <x:v>26</x:v>
      </x:c>
      <x:c r="AG7" s="44" t="n">
        <x:f>IF(OR(AF7="",M7=""),"",AF7/M7)</x:f>
        <x:v>0.05726872246696035</x:v>
      </x:c>
      <x:c r="AH7" s="14"/>
    </x:row>
    <x:row r="8">
      <x:c r="A8" s="14" t="str">
        <x:v>C1</x:v>
      </x:c>
      <x:c r="B8" s="16" t="str">
        <x:f>IF(A8="","",IF(OR(M8="",N8="",O8=""),"Needs Weighing",IF(MAX(0,O8-N8)&lt;=0,"Empty",IF(MAX(0,O8-N8)/M8&lt;0.25,"Low","In Stock"))))</x:f>
        <x:v>Needs Weighing</x:v>
      </x:c>
      <x:c r="C8" s="14" t="str">
        <x:v>PCTPE</x:v>
      </x:c>
      <x:c r="D8" s="14" t="str">
        <x:v>None</x:v>
      </x:c>
      <x:c r="E8" s="14" t="str">
        <x:v>Standard</x:v>
      </x:c>
      <x:c r="F8" s="14" t="str">
        <x:v>Natural White</x:v>
      </x:c>
      <x:c r="G8" s="14" t="str">
        <x:v>TAULMAN</x:v>
      </x:c>
      <x:c r="H8" s="14" t="str">
        <x:v>65A Shore</x:v>
      </x:c>
      <x:c r="I8" s="14" t="str">
        <x:v>Yes</x:v>
      </x:c>
      <x:c r="J8" s="22" t="n">
        <x:v>1.75</x:v>
      </x:c>
      <x:c r="K8" s="22" t="n">
        <x:v>0.02</x:v>
      </x:c>
      <x:c r="L8" s="22" t="n">
        <x:v>1.2</x:v>
      </x:c>
      <x:c r="M8" s="22" t="n">
        <x:v>454</x:v>
      </x:c>
      <x:c r="N8" s="48"/>
      <x:c r="O8" s="49"/>
      <x:c r="P8" s="59" t="str">
        <x:f>IF(OR(M8="",N8="",O8=""),"",MAX(0,O8-N8))</x:f>
      </x:c>
      <x:c r="Q8" s="28" t="str">
        <x:f>IF(OR(M8="",P8=""),"",MIN(1,MAX(0,P8/M8)))</x:f>
      </x:c>
      <x:c r="R8" s="26" t="str">
        <x:f>IF(OR(M8="",P8=""),"",MAX(0,M8-P8))</x:f>
      </x:c>
      <x:c r="S8" s="30" t="str">
        <x:f>IF(OR(P8="",L8="",J8=""),"",P8/(L8*PI()*(J8/2)^2))</x:f>
      </x:c>
      <x:c r="T8" s="60" t="str">
        <x:f>IF(OR(M8="",N8=""),"",M8+N8)</x:f>
      </x:c>
      <x:c r="U8" s="32" t="n">
        <x:v>100</x:v>
      </x:c>
      <x:c r="V8" s="34" t="n">
        <x:v>230</x:v>
      </x:c>
      <x:c r="W8" s="34" t="n">
        <x:v>40</x:v>
      </x:c>
      <x:c r="X8" s="34" t="n">
        <x:v>40</x:v>
      </x:c>
      <x:c r="Y8" s="22" t="n">
        <x:v>0.75</x:v>
      </x:c>
      <x:c r="Z8" s="22" t="n">
        <x:v>70</x:v>
      </x:c>
      <x:c r="AA8" s="36"/>
      <x:c r="AB8" s="14" t="str">
        <x:v>Amazon</x:v>
      </x:c>
      <x:c r="AC8" s="38" t="n">
        <x:v>44271</x:v>
      </x:c>
      <x:c r="AD8" s="40"/>
      <x:c r="AE8" s="40"/>
      <x:c r="AF8" s="42" t="n">
        <x:v>15</x:v>
      </x:c>
      <x:c r="AG8" s="44" t="n">
        <x:f>IF(OR(AF8="",M8=""),"",AF8/M8)</x:f>
        <x:v>0.03303964757709251</x:v>
      </x:c>
      <x:c r="AH8" s="14"/>
    </x:row>
    <x:row r="9">
      <x:c r="A9" s="14" t="str">
        <x:v>G6</x:v>
      </x:c>
      <x:c r="B9" s="16" t="str">
        <x:f>IF(A9="","",IF(OR(M9="",N9="",O9=""),"Needs Weighing",IF(MAX(0,O9-N9)&lt;=0,"Empty",IF(MAX(0,O9-N9)/M9&lt;0.25,"Low","In Stock"))))</x:f>
        <x:v>Needs Weighing</x:v>
      </x:c>
      <x:c r="C9" s="14" t="str">
        <x:v>PETG</x:v>
      </x:c>
      <x:c r="D9" s="14" t="str">
        <x:v>Carbon Fiber</x:v>
      </x:c>
      <x:c r="E9" s="14" t="str">
        <x:v>Standard</x:v>
      </x:c>
      <x:c r="F9" s="14" t="str">
        <x:v>Black</x:v>
      </x:c>
      <x:c r="G9" s="14" t="str">
        <x:v>ATOMIC</x:v>
      </x:c>
      <x:c r="H9" s="14"/>
      <x:c r="I9" s="14" t="str">
        <x:v>No</x:v>
      </x:c>
      <x:c r="J9" s="22" t="n">
        <x:v>1.75</x:v>
      </x:c>
      <x:c r="K9" s="22" t="n">
        <x:v>0.02</x:v>
      </x:c>
      <x:c r="L9" s="22" t="n">
        <x:v>1.27</x:v>
      </x:c>
      <x:c r="M9" s="22" t="n">
        <x:v>1000</x:v>
      </x:c>
      <x:c r="N9" s="48"/>
      <x:c r="O9" s="49"/>
      <x:c r="P9" s="59" t="str">
        <x:f>IF(OR(M9="",N9="",O9=""),"",MAX(0,O9-N9))</x:f>
      </x:c>
      <x:c r="Q9" s="28" t="str">
        <x:f>IF(OR(M9="",P9=""),"",MIN(1,MAX(0,P9/M9)))</x:f>
      </x:c>
      <x:c r="R9" s="26" t="str">
        <x:f>IF(OR(M9="",P9=""),"",MAX(0,M9-P9))</x:f>
      </x:c>
      <x:c r="S9" s="30" t="str">
        <x:f>IF(OR(P9="",L9="",J9=""),"",P9/(L9*PI()*(J9/2)^2))</x:f>
      </x:c>
      <x:c r="T9" s="60" t="str">
        <x:f>IF(OR(M9="",N9=""),"",M9+N9)</x:f>
      </x:c>
      <x:c r="U9" s="32" t="n">
        <x:v>100</x:v>
      </x:c>
      <x:c r="V9" s="34" t="n">
        <x:v>245</x:v>
      </x:c>
      <x:c r="W9" s="34" t="n">
        <x:v>70</x:v>
      </x:c>
      <x:c r="X9" s="34" t="n">
        <x:v>0</x:v>
      </x:c>
      <x:c r="Y9" s="22" t="n">
        <x:v>0.75</x:v>
      </x:c>
      <x:c r="Z9" s="22" t="n">
        <x:v>70</x:v>
      </x:c>
      <x:c r="AA9" s="36" t="n">
        <x:v>0.54</x:v>
      </x:c>
      <x:c r="AB9" s="14" t="str">
        <x:v>Amazon</x:v>
      </x:c>
      <x:c r="AC9" s="38" t="n">
        <x:v>44271</x:v>
      </x:c>
      <x:c r="AD9" s="40" t="n">
        <x:v>44336.13611111111</x:v>
      </x:c>
      <x:c r="AE9" s="40" t="n">
        <x:v>44635.854166666664</x:v>
      </x:c>
      <x:c r="AF9" s="42" t="n">
        <x:v>15</x:v>
      </x:c>
      <x:c r="AG9" s="44" t="n">
        <x:f>IF(OR(AF9="",M9=""),"",AF9/M9)</x:f>
        <x:v>0.015</x:v>
      </x:c>
      <x:c r="AH9" s="14"/>
    </x:row>
    <x:row r="10">
      <x:c r="A10" s="14" t="str">
        <x:v>G1</x:v>
      </x:c>
      <x:c r="B10" s="16" t="str">
        <x:f>IF(A10="","",IF(OR(M10="",N10="",O10=""),"Needs Weighing",IF(MAX(0,O10-N10)&lt;=0,"Empty",IF(MAX(0,O10-N10)/M10&lt;0.25,"Low","In Stock"))))</x:f>
        <x:v>Needs Weighing</x:v>
      </x:c>
      <x:c r="C10" s="14" t="str">
        <x:v>PETG</x:v>
      </x:c>
      <x:c r="D10" s="14" t="str">
        <x:v>None</x:v>
      </x:c>
      <x:c r="E10" s="14" t="str">
        <x:v>Standard</x:v>
      </x:c>
      <x:c r="F10" s="14" t="str">
        <x:v>Black</x:v>
      </x:c>
      <x:c r="G10" s="14" t="str">
        <x:v>SUNLU</x:v>
      </x:c>
      <x:c r="H10" s="14"/>
      <x:c r="I10" s="14" t="str">
        <x:v>No</x:v>
      </x:c>
      <x:c r="J10" s="22" t="n">
        <x:v>1.75</x:v>
      </x:c>
      <x:c r="K10" s="22" t="n">
        <x:v>0.02</x:v>
      </x:c>
      <x:c r="L10" s="22" t="n">
        <x:v>1.27</x:v>
      </x:c>
      <x:c r="M10" s="22" t="n">
        <x:v>1000</x:v>
      </x:c>
      <x:c r="N10" s="48"/>
      <x:c r="O10" s="49"/>
      <x:c r="P10" s="59" t="str">
        <x:f>IF(OR(M10="",N10="",O10=""),"",MAX(0,O10-N10))</x:f>
      </x:c>
      <x:c r="Q10" s="28" t="str">
        <x:f>IF(OR(M10="",P10=""),"",MIN(1,MAX(0,P10/M10)))</x:f>
      </x:c>
      <x:c r="R10" s="26" t="str">
        <x:f>IF(OR(M10="",P10=""),"",MAX(0,M10-P10))</x:f>
      </x:c>
      <x:c r="S10" s="30" t="str">
        <x:f>IF(OR(P10="",L10="",J10=""),"",P10/(L10*PI()*(J10/2)^2))</x:f>
      </x:c>
      <x:c r="T10" s="60" t="str">
        <x:f>IF(OR(M10="",N10=""),"",M10+N10)</x:f>
      </x:c>
      <x:c r="U10" s="32" t="n">
        <x:v>100</x:v>
      </x:c>
      <x:c r="V10" s="34" t="n">
        <x:v>235</x:v>
      </x:c>
      <x:c r="W10" s="34" t="n">
        <x:v>75</x:v>
      </x:c>
      <x:c r="X10" s="34" t="n">
        <x:v>0</x:v>
      </x:c>
      <x:c r="Y10" s="22" t="n">
        <x:v>0.75</x:v>
      </x:c>
      <x:c r="Z10" s="22" t="n">
        <x:v>70</x:v>
      </x:c>
      <x:c r="AA10" s="36" t="n">
        <x:v>0.54</x:v>
      </x:c>
      <x:c r="AB10" s="14" t="str">
        <x:v>Amazon</x:v>
      </x:c>
      <x:c r="AC10" s="38" t="n">
        <x:v>44271</x:v>
      </x:c>
      <x:c r="AD10" s="40" t="n">
        <x:v>44351.01180555556</x:v>
      </x:c>
      <x:c r="AE10" s="40" t="n">
        <x:v>44352.61597222222</x:v>
      </x:c>
      <x:c r="AF10" s="42" t="n">
        <x:v>15</x:v>
      </x:c>
      <x:c r="AG10" s="44" t="n">
        <x:f>IF(OR(AF10="",M10=""),"",AF10/M10)</x:f>
        <x:v>0.015</x:v>
      </x:c>
      <x:c r="AH10" s="14"/>
    </x:row>
    <x:row r="11">
      <x:c r="A11" s="14" t="str">
        <x:v>G2</x:v>
      </x:c>
      <x:c r="B11" s="16" t="str">
        <x:f>IF(A11="","",IF(OR(M11="",N11="",O11=""),"Needs Weighing",IF(MAX(0,O11-N11)&lt;=0,"Empty",IF(MAX(0,O11-N11)/M11&lt;0.25,"Low","In Stock"))))</x:f>
        <x:v>Needs Weighing</x:v>
      </x:c>
      <x:c r="C11" s="14" t="str">
        <x:v>PETG</x:v>
      </x:c>
      <x:c r="D11" s="14" t="str">
        <x:v>None</x:v>
      </x:c>
      <x:c r="E11" s="14" t="str">
        <x:v>Standard</x:v>
      </x:c>
      <x:c r="F11" s="14" t="str">
        <x:v>Blue</x:v>
      </x:c>
      <x:c r="G11" s="14" t="str">
        <x:v>SUNLU</x:v>
      </x:c>
      <x:c r="H11" s="14"/>
      <x:c r="I11" s="14" t="str">
        <x:v>No</x:v>
      </x:c>
      <x:c r="J11" s="22" t="n">
        <x:v>1.75</x:v>
      </x:c>
      <x:c r="K11" s="22" t="n">
        <x:v>0.02</x:v>
      </x:c>
      <x:c r="L11" s="22" t="n">
        <x:v>1.27</x:v>
      </x:c>
      <x:c r="M11" s="22" t="n">
        <x:v>1000</x:v>
      </x:c>
      <x:c r="N11" s="48"/>
      <x:c r="O11" s="49"/>
      <x:c r="P11" s="59" t="str">
        <x:f>IF(OR(M11="",N11="",O11=""),"",MAX(0,O11-N11))</x:f>
      </x:c>
      <x:c r="Q11" s="28" t="str">
        <x:f>IF(OR(M11="",P11=""),"",MIN(1,MAX(0,P11/M11)))</x:f>
      </x:c>
      <x:c r="R11" s="26" t="str">
        <x:f>IF(OR(M11="",P11=""),"",MAX(0,M11-P11))</x:f>
      </x:c>
      <x:c r="S11" s="30" t="str">
        <x:f>IF(OR(P11="",L11="",J11=""),"",P11/(L11*PI()*(J11/2)^2))</x:f>
      </x:c>
      <x:c r="T11" s="60" t="str">
        <x:f>IF(OR(M11="",N11=""),"",M11+N11)</x:f>
      </x:c>
      <x:c r="U11" s="32" t="n">
        <x:v>100</x:v>
      </x:c>
      <x:c r="V11" s="34" t="n">
        <x:v>245</x:v>
      </x:c>
      <x:c r="W11" s="34" t="n">
        <x:v>75</x:v>
      </x:c>
      <x:c r="X11" s="34" t="n">
        <x:v>0</x:v>
      </x:c>
      <x:c r="Y11" s="22" t="n">
        <x:v>0.75</x:v>
      </x:c>
      <x:c r="Z11" s="22" t="n">
        <x:v>70</x:v>
      </x:c>
      <x:c r="AA11" s="36" t="n">
        <x:v>0.54</x:v>
      </x:c>
      <x:c r="AB11" s="14" t="str">
        <x:v>Amazon</x:v>
      </x:c>
      <x:c r="AC11" s="38" t="n">
        <x:v>44271</x:v>
      </x:c>
      <x:c r="AD11" s="40" t="n">
        <x:v>44336.13611111111</x:v>
      </x:c>
      <x:c r="AE11" s="40" t="n">
        <x:v>44632.964583333334</x:v>
      </x:c>
      <x:c r="AF11" s="42" t="n">
        <x:v>15</x:v>
      </x:c>
      <x:c r="AG11" s="44" t="n">
        <x:f>IF(OR(AF11="",M11=""),"",AF11/M11)</x:f>
        <x:v>0.015</x:v>
      </x:c>
      <x:c r="AH11" s="14"/>
    </x:row>
    <x:row r="12">
      <x:c r="A12" s="14" t="str">
        <x:v>G5</x:v>
      </x:c>
      <x:c r="B12" s="16" t="str">
        <x:f>IF(A12="","",IF(OR(M12="",N12="",O12=""),"Needs Weighing",IF(MAX(0,O12-N12)&lt;=0,"Empty",IF(MAX(0,O12-N12)/M12&lt;0.25,"Low","In Stock"))))</x:f>
        <x:v>Needs Weighing</x:v>
      </x:c>
      <x:c r="C12" s="14" t="str">
        <x:v>PETG</x:v>
      </x:c>
      <x:c r="D12" s="14" t="str">
        <x:v>None</x:v>
      </x:c>
      <x:c r="E12" s="14" t="str">
        <x:v>Transparent/Clear</x:v>
      </x:c>
      <x:c r="F12" s="14" t="str">
        <x:v>Clear</x:v>
      </x:c>
      <x:c r="G12" s="14" t="str">
        <x:v>NOVAMAKER</x:v>
      </x:c>
      <x:c r="H12" s="14"/>
      <x:c r="I12" s="14" t="str">
        <x:v>No</x:v>
      </x:c>
      <x:c r="J12" s="22" t="n">
        <x:v>1.75</x:v>
      </x:c>
      <x:c r="K12" s="22" t="n">
        <x:v>0.02</x:v>
      </x:c>
      <x:c r="L12" s="22" t="n">
        <x:v>1.27</x:v>
      </x:c>
      <x:c r="M12" s="22" t="n">
        <x:v>1000</x:v>
      </x:c>
      <x:c r="N12" s="48"/>
      <x:c r="O12" s="49"/>
      <x:c r="P12" s="59" t="str">
        <x:f>IF(OR(M12="",N12="",O12=""),"",MAX(0,O12-N12))</x:f>
      </x:c>
      <x:c r="Q12" s="28" t="str">
        <x:f>IF(OR(M12="",P12=""),"",MIN(1,MAX(0,P12/M12)))</x:f>
      </x:c>
      <x:c r="R12" s="26" t="str">
        <x:f>IF(OR(M12="",P12=""),"",MAX(0,M12-P12))</x:f>
      </x:c>
      <x:c r="S12" s="30" t="str">
        <x:f>IF(OR(P12="",L12="",J12=""),"",P12/(L12*PI()*(J12/2)^2))</x:f>
      </x:c>
      <x:c r="T12" s="60" t="str">
        <x:f>IF(OR(M12="",N12=""),"",M12+N12)</x:f>
      </x:c>
      <x:c r="U12" s="32" t="n">
        <x:v>100</x:v>
      </x:c>
      <x:c r="V12" s="34" t="n">
        <x:v>240</x:v>
      </x:c>
      <x:c r="W12" s="34" t="n">
        <x:v>75</x:v>
      </x:c>
      <x:c r="X12" s="34" t="n">
        <x:v>0</x:v>
      </x:c>
      <x:c r="Y12" s="22" t="n">
        <x:v>0.75</x:v>
      </x:c>
      <x:c r="Z12" s="22" t="n">
        <x:v>70</x:v>
      </x:c>
      <x:c r="AA12" s="36" t="n">
        <x:v>0.54</x:v>
      </x:c>
      <x:c r="AB12" s="14" t="str">
        <x:v>Amazon</x:v>
      </x:c>
      <x:c r="AC12" s="38" t="n">
        <x:v>44337</x:v>
      </x:c>
      <x:c r="AD12" s="40" t="n">
        <x:v>44339.97708333333</x:v>
      </x:c>
      <x:c r="AE12" s="40" t="n">
        <x:v>44340.165972222225</x:v>
      </x:c>
      <x:c r="AF12" s="42" t="n">
        <x:v>19</x:v>
      </x:c>
      <x:c r="AG12" s="44" t="n">
        <x:f>IF(OR(AF12="",M12=""),"",AF12/M12)</x:f>
        <x:v>0.019</x:v>
      </x:c>
      <x:c r="AH12" s="14"/>
    </x:row>
    <x:row r="13">
      <x:c r="A13" s="14" t="str">
        <x:v>G3</x:v>
      </x:c>
      <x:c r="B13" s="16" t="str">
        <x:f>IF(A13="","",IF(OR(M13="",N13="",O13=""),"Needs Weighing",IF(MAX(0,O13-N13)&lt;=0,"Empty",IF(MAX(0,O13-N13)/M13&lt;0.25,"Low","In Stock"))))</x:f>
        <x:v>Needs Weighing</x:v>
      </x:c>
      <x:c r="C13" s="14" t="str">
        <x:v>PETG</x:v>
      </x:c>
      <x:c r="D13" s="14" t="str">
        <x:v>None</x:v>
      </x:c>
      <x:c r="E13" s="14" t="str">
        <x:v>Opaque</x:v>
      </x:c>
      <x:c r="F13" s="14" t="str">
        <x:v>Green</x:v>
      </x:c>
      <x:c r="G13" s="14" t="str">
        <x:v>3D SOLUTECH</x:v>
      </x:c>
      <x:c r="H13" s="14"/>
      <x:c r="I13" s="14" t="str">
        <x:v>No</x:v>
      </x:c>
      <x:c r="J13" s="22" t="n">
        <x:v>1.75</x:v>
      </x:c>
      <x:c r="K13" s="22" t="n">
        <x:v>0.05</x:v>
      </x:c>
      <x:c r="L13" s="22" t="n">
        <x:v>1.27</x:v>
      </x:c>
      <x:c r="M13" s="22" t="n">
        <x:v>1000</x:v>
      </x:c>
      <x:c r="N13" s="48"/>
      <x:c r="O13" s="49"/>
      <x:c r="P13" s="59" t="str">
        <x:f>IF(OR(M13="",N13="",O13=""),"",MAX(0,O13-N13))</x:f>
      </x:c>
      <x:c r="Q13" s="28" t="str">
        <x:f>IF(OR(M13="",P13=""),"",MIN(1,MAX(0,P13/M13)))</x:f>
      </x:c>
      <x:c r="R13" s="26" t="str">
        <x:f>IF(OR(M13="",P13=""),"",MAX(0,M13-P13))</x:f>
      </x:c>
      <x:c r="S13" s="30" t="str">
        <x:f>IF(OR(P13="",L13="",J13=""),"",P13/(L13*PI()*(J13/2)^2))</x:f>
      </x:c>
      <x:c r="T13" s="60" t="str">
        <x:f>IF(OR(M13="",N13=""),"",M13+N13)</x:f>
      </x:c>
      <x:c r="U13" s="32" t="n">
        <x:v>100</x:v>
      </x:c>
      <x:c r="V13" s="34" t="n">
        <x:v>225</x:v>
      </x:c>
      <x:c r="W13" s="34" t="n">
        <x:v>70</x:v>
      </x:c>
      <x:c r="X13" s="34" t="n">
        <x:v>0</x:v>
      </x:c>
      <x:c r="Y13" s="22" t="n">
        <x:v>0.75</x:v>
      </x:c>
      <x:c r="Z13" s="22" t="n">
        <x:v>70</x:v>
      </x:c>
      <x:c r="AA13" s="36" t="n">
        <x:v>0.54</x:v>
      </x:c>
      <x:c r="AB13" s="14" t="str">
        <x:v>Amazon</x:v>
      </x:c>
      <x:c r="AC13" s="38" t="n">
        <x:v>44271</x:v>
      </x:c>
      <x:c r="AD13" s="40"/>
      <x:c r="AE13" s="40"/>
      <x:c r="AF13" s="42" t="n">
        <x:v>23</x:v>
      </x:c>
      <x:c r="AG13" s="44" t="n">
        <x:f>IF(OR(AF13="",M13=""),"",AF13/M13)</x:f>
        <x:v>0.023</x:v>
      </x:c>
      <x:c r="AH13" s="14"/>
    </x:row>
    <x:row r="14">
      <x:c r="A14" s="14" t="str">
        <x:v>G4</x:v>
      </x:c>
      <x:c r="B14" s="16" t="str">
        <x:f>IF(A14="","",IF(OR(M14="",N14="",O14=""),"Needs Weighing",IF(MAX(0,O14-N14)&lt;=0,"Empty",IF(MAX(0,O14-N14)/M14&lt;0.25,"Low","In Stock"))))</x:f>
        <x:v>Needs Weighing</x:v>
      </x:c>
      <x:c r="C14" s="14" t="str">
        <x:v>PETG</x:v>
      </x:c>
      <x:c r="D14" s="14" t="str">
        <x:v>None</x:v>
      </x:c>
      <x:c r="E14" s="14" t="str">
        <x:v>Standard</x:v>
      </x:c>
      <x:c r="F14" s="14" t="str">
        <x:v>Military Green</x:v>
      </x:c>
      <x:c r="G14" s="14" t="str">
        <x:v>PARAMOUNT</x:v>
      </x:c>
      <x:c r="H14" s="14"/>
      <x:c r="I14" s="14" t="str">
        <x:v>No</x:v>
      </x:c>
      <x:c r="J14" s="22" t="n">
        <x:v>1.75</x:v>
      </x:c>
      <x:c r="K14" s="22" t="n">
        <x:v>0.02</x:v>
      </x:c>
      <x:c r="L14" s="22" t="n">
        <x:v>1.27</x:v>
      </x:c>
      <x:c r="M14" s="22" t="n">
        <x:v>1000</x:v>
      </x:c>
      <x:c r="N14" s="48"/>
      <x:c r="O14" s="49"/>
      <x:c r="P14" s="59" t="str">
        <x:f>IF(OR(M14="",N14="",O14=""),"",MAX(0,O14-N14))</x:f>
      </x:c>
      <x:c r="Q14" s="28" t="str">
        <x:f>IF(OR(M14="",P14=""),"",MIN(1,MAX(0,P14/M14)))</x:f>
      </x:c>
      <x:c r="R14" s="26" t="str">
        <x:f>IF(OR(M14="",P14=""),"",MAX(0,M14-P14))</x:f>
      </x:c>
      <x:c r="S14" s="30" t="str">
        <x:f>IF(OR(P14="",L14="",J14=""),"",P14/(L14*PI()*(J14/2)^2))</x:f>
      </x:c>
      <x:c r="T14" s="60" t="str">
        <x:f>IF(OR(M14="",N14=""),"",M14+N14)</x:f>
      </x:c>
      <x:c r="U14" s="32" t="n">
        <x:v>100</x:v>
      </x:c>
      <x:c r="V14" s="34" t="n">
        <x:v>240</x:v>
      </x:c>
      <x:c r="W14" s="34" t="n">
        <x:v>80</x:v>
      </x:c>
      <x:c r="X14" s="34" t="n">
        <x:v>0</x:v>
      </x:c>
      <x:c r="Y14" s="22" t="n">
        <x:v>0.75</x:v>
      </x:c>
      <x:c r="Z14" s="22" t="n">
        <x:v>70</x:v>
      </x:c>
      <x:c r="AA14" s="36" t="n">
        <x:v>0.54</x:v>
      </x:c>
      <x:c r="AB14" s="14" t="str">
        <x:v>Amazon</x:v>
      </x:c>
      <x:c r="AC14" s="38" t="n">
        <x:v>44271</x:v>
      </x:c>
      <x:c r="AD14" s="40"/>
      <x:c r="AE14" s="40"/>
      <x:c r="AF14" s="42" t="n">
        <x:v>29</x:v>
      </x:c>
      <x:c r="AG14" s="44" t="n">
        <x:f>IF(OR(AF14="",M14=""),"",AF14/M14)</x:f>
        <x:v>0.029</x:v>
      </x:c>
      <x:c r="AH14" s="14"/>
    </x:row>
    <x:row r="15">
      <x:c r="A15" s="14" t="str">
        <x:v>P12</x:v>
      </x:c>
      <x:c r="B15" s="16" t="str">
        <x:f>IF(A15="","",IF(OR(M15="",N15="",O15=""),"Needs Weighing",IF(MAX(0,O15-N15)&lt;=0,"Empty",IF(MAX(0,O15-N15)/M15&lt;0.25,"Low","In Stock"))))</x:f>
        <x:v>Needs Weighing</x:v>
      </x:c>
      <x:c r="C15" s="14" t="str">
        <x:v>PLA</x:v>
      </x:c>
      <x:c r="D15" s="14" t="str">
        <x:v>Carbon Fiber</x:v>
      </x:c>
      <x:c r="E15" s="14" t="str">
        <x:v>Standard</x:v>
      </x:c>
      <x:c r="F15" s="14" t="str">
        <x:v>Black</x:v>
      </x:c>
      <x:c r="G15" s="14" t="str">
        <x:v>SUNLU</x:v>
      </x:c>
      <x:c r="H15" s="14"/>
      <x:c r="I15" s="14" t="str">
        <x:v>No</x:v>
      </x:c>
      <x:c r="J15" s="22" t="n">
        <x:v>1.75</x:v>
      </x:c>
      <x:c r="K15" s="22" t="n">
        <x:v>0.05</x:v>
      </x:c>
      <x:c r="L15" s="22" t="n">
        <x:v>1.24</x:v>
      </x:c>
      <x:c r="M15" s="22" t="n">
        <x:v>1000</x:v>
      </x:c>
      <x:c r="N15" s="48"/>
      <x:c r="O15" s="49"/>
      <x:c r="P15" s="59" t="str">
        <x:f>IF(OR(M15="",N15="",O15=""),"",MAX(0,O15-N15))</x:f>
      </x:c>
      <x:c r="Q15" s="28" t="str">
        <x:f>IF(OR(M15="",P15=""),"",MIN(1,MAX(0,P15/M15)))</x:f>
      </x:c>
      <x:c r="R15" s="26" t="str">
        <x:f>IF(OR(M15="",P15=""),"",MAX(0,M15-P15))</x:f>
      </x:c>
      <x:c r="S15" s="30" t="str">
        <x:f>IF(OR(P15="",L15="",J15=""),"",P15/(L15*PI()*(J15/2)^2))</x:f>
      </x:c>
      <x:c r="T15" s="60" t="str">
        <x:f>IF(OR(M15="",N15=""),"",M15+N15)</x:f>
      </x:c>
      <x:c r="U15" s="32" t="n">
        <x:v>100</x:v>
      </x:c>
      <x:c r="V15" s="34" t="n">
        <x:v>220</x:v>
      </x:c>
      <x:c r="W15" s="34" t="n">
        <x:v>60</x:v>
      </x:c>
      <x:c r="X15" s="34" t="n">
        <x:v>0</x:v>
      </x:c>
      <x:c r="Y15" s="22" t="n">
        <x:v>0.75</x:v>
      </x:c>
      <x:c r="Z15" s="22" t="n">
        <x:v>70</x:v>
      </x:c>
      <x:c r="AA15" s="36"/>
      <x:c r="AB15" s="14" t="str">
        <x:v>Amazon</x:v>
      </x:c>
      <x:c r="AC15" s="38" t="n">
        <x:v>44271</x:v>
      </x:c>
      <x:c r="AD15" s="40" t="n">
        <x:v>44340.645833333336</x:v>
      </x:c>
      <x:c r="AE15" s="40" t="n">
        <x:v>44341.95208333333</x:v>
      </x:c>
      <x:c r="AF15" s="42" t="n">
        <x:v>31</x:v>
      </x:c>
      <x:c r="AG15" s="44" t="n">
        <x:f>IF(OR(AF15="",M15=""),"",AF15/M15)</x:f>
        <x:v>0.031</x:v>
      </x:c>
      <x:c r="AH15" s="14"/>
    </x:row>
    <x:row r="16">
      <x:c r="A16" s="14" t="str">
        <x:v>P3</x:v>
      </x:c>
      <x:c r="B16" s="16" t="str">
        <x:f>IF(A16="","",IF(OR(M16="",N16="",O16=""),"Needs Weighing",IF(MAX(0,O16-N16)&lt;=0,"Empty",IF(MAX(0,O16-N16)/M16&lt;0.25,"Low","In Stock"))))</x:f>
        <x:v>In Stock</x:v>
      </x:c>
      <x:c r="C16" s="14" t="str">
        <x:v>PLA</x:v>
      </x:c>
      <x:c r="D16" s="14" t="str">
        <x:v>None</x:v>
      </x:c>
      <x:c r="E16" s="14" t="str">
        <x:v>Standard</x:v>
      </x:c>
      <x:c r="F16" s="14" t="str">
        <x:v>Black</x:v>
      </x:c>
      <x:c r="G16" s="14" t="str">
        <x:v>SUNLU</x:v>
      </x:c>
      <x:c r="H16" s="14"/>
      <x:c r="I16" s="14" t="str">
        <x:v>No</x:v>
      </x:c>
      <x:c r="J16" s="22" t="n">
        <x:v>1.75</x:v>
      </x:c>
      <x:c r="K16" s="22" t="n">
        <x:v>0.02</x:v>
      </x:c>
      <x:c r="L16" s="22" t="n">
        <x:v>1.24</x:v>
      </x:c>
      <x:c r="M16" s="22" t="n">
        <x:v>1000</x:v>
      </x:c>
      <x:c r="N16" s="48" t="n">
        <x:v>116</x:v>
      </x:c>
      <x:c r="O16" s="49" t="n">
        <x:v>1116</x:v>
      </x:c>
      <x:c r="P16" s="59" t="n">
        <x:f>IF(OR(M16="",N16="",O16=""),"",MAX(0,O16-N16))</x:f>
        <x:v>1000</x:v>
      </x:c>
      <x:c r="Q16" s="28" t="n">
        <x:f>IF(OR(M16="",P16=""),"",MIN(1,MAX(0,P16/M16)))</x:f>
        <x:v>1</x:v>
      </x:c>
      <x:c r="R16" s="26" t="n">
        <x:f>IF(OR(M16="",P16=""),"",MAX(0,M16-P16))</x:f>
        <x:v>0</x:v>
      </x:c>
      <x:c r="S16" s="30" t="n">
        <x:f>IF(OR(P16="",L16="",J16=""),"",P16/(L16*PI()*(J16/2)^2))</x:f>
        <x:v>335.28361941676434</x:v>
      </x:c>
      <x:c r="T16" s="60" t="n">
        <x:f>IF(OR(M16="",N16=""),"",M16+N16)</x:f>
        <x:v>1116</x:v>
      </x:c>
      <x:c r="U16" s="32" t="n">
        <x:v>100</x:v>
      </x:c>
      <x:c r="V16" s="34" t="n">
        <x:v>210</x:v>
      </x:c>
      <x:c r="W16" s="34" t="n">
        <x:v>60</x:v>
      </x:c>
      <x:c r="X16" s="34" t="n">
        <x:v>0</x:v>
      </x:c>
      <x:c r="Y16" s="22" t="n">
        <x:v>0.75</x:v>
      </x:c>
      <x:c r="Z16" s="22" t="n">
        <x:v>70</x:v>
      </x:c>
      <x:c r="AA16" s="36"/>
      <x:c r="AB16" s="14" t="str">
        <x:v>Amazon</x:v>
      </x:c>
      <x:c r="AC16" s="38" t="n">
        <x:v>44271</x:v>
      </x:c>
      <x:c r="AD16" s="40"/>
      <x:c r="AE16" s="40"/>
      <x:c r="AF16" s="42" t="n">
        <x:v>18</x:v>
      </x:c>
      <x:c r="AG16" s="44" t="n">
        <x:f>IF(OR(AF16="",M16=""),"",AF16/M16)</x:f>
        <x:v>0.018</x:v>
      </x:c>
      <x:c r="AH16" s="14"/>
    </x:row>
    <x:row r="17">
      <x:c r="A17" s="14" t="str">
        <x:v>P2</x:v>
      </x:c>
      <x:c r="B17" s="16" t="str">
        <x:f>IF(A17="","",IF(OR(M17="",N17="",O17=""),"Needs Weighing",IF(MAX(0,O17-N17)&lt;=0,"Empty",IF(MAX(0,O17-N17)/M17&lt;0.25,"Low","In Stock"))))</x:f>
        <x:v>Needs Weighing</x:v>
      </x:c>
      <x:c r="C17" s="14" t="str">
        <x:v>PLA</x:v>
      </x:c>
      <x:c r="D17" s="14" t="str">
        <x:v>None</x:v>
      </x:c>
      <x:c r="E17" s="14" t="str">
        <x:v>Standard</x:v>
      </x:c>
      <x:c r="F17" s="14" t="str">
        <x:v>Black</x:v>
      </x:c>
      <x:c r="G17" s="14" t="str">
        <x:v>SUNLU</x:v>
      </x:c>
      <x:c r="H17" s="14"/>
      <x:c r="I17" s="14" t="str">
        <x:v>No</x:v>
      </x:c>
      <x:c r="J17" s="22" t="n">
        <x:v>1.75</x:v>
      </x:c>
      <x:c r="K17" s="22" t="n">
        <x:v>0.02</x:v>
      </x:c>
      <x:c r="L17" s="22" t="n">
        <x:v>1.24</x:v>
      </x:c>
      <x:c r="M17" s="22" t="n">
        <x:v>1000</x:v>
      </x:c>
      <x:c r="N17" s="48" t="n">
        <x:v>116</x:v>
      </x:c>
      <x:c r="O17" s="49"/>
      <x:c r="P17" s="59" t="str">
        <x:f>IF(OR(M17="",N17="",O17=""),"",MAX(0,O17-N17))</x:f>
      </x:c>
      <x:c r="Q17" s="28" t="str">
        <x:f>IF(OR(M17="",P17=""),"",MIN(1,MAX(0,P17/M17)))</x:f>
      </x:c>
      <x:c r="R17" s="26" t="str">
        <x:f>IF(OR(M17="",P17=""),"",MAX(0,M17-P17))</x:f>
      </x:c>
      <x:c r="S17" s="30" t="str">
        <x:f>IF(OR(P17="",L17="",J17=""),"",P17/(L17*PI()*(J17/2)^2))</x:f>
      </x:c>
      <x:c r="T17" s="60" t="n">
        <x:f>IF(OR(M17="",N17=""),"",M17+N17)</x:f>
        <x:v>1116</x:v>
      </x:c>
      <x:c r="U17" s="32" t="n">
        <x:v>100</x:v>
      </x:c>
      <x:c r="V17" s="34" t="n">
        <x:v>210</x:v>
      </x:c>
      <x:c r="W17" s="34" t="n">
        <x:v>60</x:v>
      </x:c>
      <x:c r="X17" s="34" t="n">
        <x:v>0</x:v>
      </x:c>
      <x:c r="Y17" s="22" t="n">
        <x:v>0.75</x:v>
      </x:c>
      <x:c r="Z17" s="22" t="n">
        <x:v>70</x:v>
      </x:c>
      <x:c r="AA17" s="36"/>
      <x:c r="AB17" s="14" t="str">
        <x:v>Amazon</x:v>
      </x:c>
      <x:c r="AC17" s="38" t="n">
        <x:v>44271</x:v>
      </x:c>
      <x:c r="AD17" s="40" t="n">
        <x:v>44329.001388888886</x:v>
      </x:c>
      <x:c r="AE17" s="40" t="n">
        <x:v>44329.16527777778</x:v>
      </x:c>
      <x:c r="AF17" s="42" t="n">
        <x:v>16</x:v>
      </x:c>
      <x:c r="AG17" s="44" t="n">
        <x:f>IF(OR(AF17="",M17=""),"",AF17/M17)</x:f>
        <x:v>0.016</x:v>
      </x:c>
      <x:c r="AH17" s="14"/>
    </x:row>
    <x:row r="18">
      <x:c r="A18" s="14" t="str">
        <x:v>P1</x:v>
      </x:c>
      <x:c r="B18" s="16" t="str">
        <x:f>IF(A18="","",IF(OR(M18="",N18="",O18=""),"Needs Weighing",IF(MAX(0,O18-N18)&lt;=0,"Empty",IF(MAX(0,O18-N18)/M18&lt;0.25,"Low","In Stock"))))</x:f>
        <x:v>Needs Weighing</x:v>
      </x:c>
      <x:c r="C18" s="14" t="str">
        <x:v>PLA</x:v>
      </x:c>
      <x:c r="D18" s="14" t="str">
        <x:v>None</x:v>
      </x:c>
      <x:c r="E18" s="14" t="str">
        <x:v>Standard</x:v>
      </x:c>
      <x:c r="F18" s="14" t="str">
        <x:v>Black</x:v>
      </x:c>
      <x:c r="G18" s="14" t="str">
        <x:v>SUNLU</x:v>
      </x:c>
      <x:c r="H18" s="14"/>
      <x:c r="I18" s="14" t="str">
        <x:v>No</x:v>
      </x:c>
      <x:c r="J18" s="22" t="n">
        <x:v>1.75</x:v>
      </x:c>
      <x:c r="K18" s="22" t="n">
        <x:v>0.02</x:v>
      </x:c>
      <x:c r="L18" s="22" t="n">
        <x:v>1.24</x:v>
      </x:c>
      <x:c r="M18" s="22" t="n">
        <x:v>1000</x:v>
      </x:c>
      <x:c r="N18" s="48" t="n">
        <x:v>116</x:v>
      </x:c>
      <x:c r="O18" s="49"/>
      <x:c r="P18" s="59" t="str">
        <x:f>IF(OR(M18="",N18="",O18=""),"",MAX(0,O18-N18))</x:f>
      </x:c>
      <x:c r="Q18" s="28" t="str">
        <x:f>IF(OR(M18="",P18=""),"",MIN(1,MAX(0,P18/M18)))</x:f>
      </x:c>
      <x:c r="R18" s="26" t="str">
        <x:f>IF(OR(M18="",P18=""),"",MAX(0,M18-P18))</x:f>
      </x:c>
      <x:c r="S18" s="30" t="str">
        <x:f>IF(OR(P18="",L18="",J18=""),"",P18/(L18*PI()*(J18/2)^2))</x:f>
      </x:c>
      <x:c r="T18" s="60" t="n">
        <x:f>IF(OR(M18="",N18=""),"",M18+N18)</x:f>
        <x:v>1116</x:v>
      </x:c>
      <x:c r="U18" s="32" t="n">
        <x:v>100</x:v>
      </x:c>
      <x:c r="V18" s="34" t="n">
        <x:v>210</x:v>
      </x:c>
      <x:c r="W18" s="34" t="n">
        <x:v>60</x:v>
      </x:c>
      <x:c r="X18" s="34" t="n">
        <x:v>0</x:v>
      </x:c>
      <x:c r="Y18" s="22" t="n">
        <x:v>0.75</x:v>
      </x:c>
      <x:c r="Z18" s="22" t="n">
        <x:v>70</x:v>
      </x:c>
      <x:c r="AA18" s="36"/>
      <x:c r="AB18" s="14" t="str">
        <x:v>Amazon</x:v>
      </x:c>
      <x:c r="AC18" s="38" t="n">
        <x:v>44271</x:v>
      </x:c>
      <x:c r="AD18" s="40" t="n">
        <x:v>44328.99513888889</x:v>
      </x:c>
      <x:c r="AE18" s="40" t="n">
        <x:v>44342.8875</x:v>
      </x:c>
      <x:c r="AF18" s="42" t="n">
        <x:v>16</x:v>
      </x:c>
      <x:c r="AG18" s="44" t="n">
        <x:f>IF(OR(AF18="",M18=""),"",AF18/M18)</x:f>
        <x:v>0.016</x:v>
      </x:c>
      <x:c r="AH18" s="14"/>
    </x:row>
    <x:row r="19">
      <x:c r="A19" s="14" t="str">
        <x:v>P8</x:v>
      </x:c>
      <x:c r="B19" s="16" t="str">
        <x:f>IF(A19="","",IF(OR(M19="",N19="",O19=""),"Needs Weighing",IF(MAX(0,O19-N19)&lt;=0,"Empty",IF(MAX(0,O19-N19)/M19&lt;0.25,"Low","In Stock"))))</x:f>
        <x:v>Needs Weighing</x:v>
      </x:c>
      <x:c r="C19" s="14" t="str">
        <x:v>PLA</x:v>
      </x:c>
      <x:c r="D19" s="14" t="str">
        <x:v>None</x:v>
      </x:c>
      <x:c r="E19" s="14" t="str">
        <x:v>Glow</x:v>
      </x:c>
      <x:c r="F19" s="14" t="str">
        <x:v>Blue</x:v>
      </x:c>
      <x:c r="G19" s="14" t="str">
        <x:v>AMOLEN</x:v>
      </x:c>
      <x:c r="H19" s="14"/>
      <x:c r="I19" s="14" t="str">
        <x:v>No</x:v>
      </x:c>
      <x:c r="J19" s="22" t="n">
        <x:v>1.75</x:v>
      </x:c>
      <x:c r="K19" s="22" t="n">
        <x:v>0.03</x:v>
      </x:c>
      <x:c r="L19" s="22" t="n">
        <x:v>1.24</x:v>
      </x:c>
      <x:c r="M19" s="22" t="n">
        <x:v>200</x:v>
      </x:c>
      <x:c r="N19" s="48"/>
      <x:c r="O19" s="49"/>
      <x:c r="P19" s="59" t="str">
        <x:f>IF(OR(M19="",N19="",O19=""),"",MAX(0,O19-N19))</x:f>
      </x:c>
      <x:c r="Q19" s="28" t="str">
        <x:f>IF(OR(M19="",P19=""),"",MIN(1,MAX(0,P19/M19)))</x:f>
      </x:c>
      <x:c r="R19" s="26" t="str">
        <x:f>IF(OR(M19="",P19=""),"",MAX(0,M19-P19))</x:f>
      </x:c>
      <x:c r="S19" s="30" t="str">
        <x:f>IF(OR(P19="",L19="",J19=""),"",P19/(L19*PI()*(J19/2)^2))</x:f>
      </x:c>
      <x:c r="T19" s="60" t="str">
        <x:f>IF(OR(M19="",N19=""),"",M19+N19)</x:f>
      </x:c>
      <x:c r="U19" s="32" t="n">
        <x:v>100</x:v>
      </x:c>
      <x:c r="V19" s="34" t="n">
        <x:v>210</x:v>
      </x:c>
      <x:c r="W19" s="34" t="n">
        <x:v>40</x:v>
      </x:c>
      <x:c r="X19" s="34" t="n">
        <x:v>0</x:v>
      </x:c>
      <x:c r="Y19" s="22" t="n">
        <x:v>0.75</x:v>
      </x:c>
      <x:c r="Z19" s="22" t="n">
        <x:v>70</x:v>
      </x:c>
      <x:c r="AA19" s="36"/>
      <x:c r="AB19" s="14" t="str">
        <x:v>Amazon</x:v>
      </x:c>
      <x:c r="AC19" s="38" t="n">
        <x:v>44271</x:v>
      </x:c>
      <x:c r="AD19" s="40" t="n">
        <x:v>44344.10277777778</x:v>
      </x:c>
      <x:c r="AE19" s="40" t="n">
        <x:v>44344.149305555555</x:v>
      </x:c>
      <x:c r="AF19" s="42" t="n">
        <x:v>9</x:v>
      </x:c>
      <x:c r="AG19" s="44" t="n">
        <x:f>IF(OR(AF19="",M19=""),"",AF19/M19)</x:f>
        <x:v>0.045</x:v>
      </x:c>
      <x:c r="AH19" s="14"/>
    </x:row>
    <x:row r="20">
      <x:c r="A20" s="14" t="str">
        <x:v>P7</x:v>
      </x:c>
      <x:c r="B20" s="16" t="str">
        <x:f>IF(A20="","",IF(OR(M20="",N20="",O20=""),"Needs Weighing",IF(MAX(0,O20-N20)&lt;=0,"Empty",IF(MAX(0,O20-N20)/M20&lt;0.25,"Low","In Stock"))))</x:f>
        <x:v>Needs Weighing</x:v>
      </x:c>
      <x:c r="C20" s="14" t="str">
        <x:v>PLA</x:v>
      </x:c>
      <x:c r="D20" s="14" t="str">
        <x:v>None</x:v>
      </x:c>
      <x:c r="E20" s="14" t="str">
        <x:v>Glow</x:v>
      </x:c>
      <x:c r="F20" s="14" t="str">
        <x:v>Green</x:v>
      </x:c>
      <x:c r="G20" s="14" t="str">
        <x:v>AMOLEN</x:v>
      </x:c>
      <x:c r="H20" s="14"/>
      <x:c r="I20" s="14" t="str">
        <x:v>No</x:v>
      </x:c>
      <x:c r="J20" s="22" t="n">
        <x:v>1.75</x:v>
      </x:c>
      <x:c r="K20" s="22" t="n">
        <x:v>0.03</x:v>
      </x:c>
      <x:c r="L20" s="22" t="n">
        <x:v>1.24</x:v>
      </x:c>
      <x:c r="M20" s="22" t="n">
        <x:v>200</x:v>
      </x:c>
      <x:c r="N20" s="48"/>
      <x:c r="O20" s="49"/>
      <x:c r="P20" s="59" t="str">
        <x:f>IF(OR(M20="",N20="",O20=""),"",MAX(0,O20-N20))</x:f>
      </x:c>
      <x:c r="Q20" s="28" t="str">
        <x:f>IF(OR(M20="",P20=""),"",MIN(1,MAX(0,P20/M20)))</x:f>
      </x:c>
      <x:c r="R20" s="26" t="str">
        <x:f>IF(OR(M20="",P20=""),"",MAX(0,M20-P20))</x:f>
      </x:c>
      <x:c r="S20" s="30" t="str">
        <x:f>IF(OR(P20="",L20="",J20=""),"",P20/(L20*PI()*(J20/2)^2))</x:f>
      </x:c>
      <x:c r="T20" s="60" t="str">
        <x:f>IF(OR(M20="",N20=""),"",M20+N20)</x:f>
      </x:c>
      <x:c r="U20" s="32" t="n">
        <x:v>100</x:v>
      </x:c>
      <x:c r="V20" s="34" t="n">
        <x:v>210</x:v>
      </x:c>
      <x:c r="W20" s="34" t="n">
        <x:v>60</x:v>
      </x:c>
      <x:c r="X20" s="34" t="n">
        <x:v>0</x:v>
      </x:c>
      <x:c r="Y20" s="22" t="n">
        <x:v>0.75</x:v>
      </x:c>
      <x:c r="Z20" s="22" t="n">
        <x:v>70</x:v>
      </x:c>
      <x:c r="AA20" s="36"/>
      <x:c r="AB20" s="14" t="str">
        <x:v>Amazon</x:v>
      </x:c>
      <x:c r="AC20" s="38" t="n">
        <x:v>44271</x:v>
      </x:c>
      <x:c r="AD20" s="40"/>
      <x:c r="AE20" s="40"/>
      <x:c r="AF20" s="42" t="n">
        <x:v>9</x:v>
      </x:c>
      <x:c r="AG20" s="44" t="n">
        <x:f>IF(OR(AF20="",M20=""),"",AF20/M20)</x:f>
        <x:v>0.045</x:v>
      </x:c>
      <x:c r="AH20" s="14"/>
    </x:row>
    <x:row r="21">
      <x:c r="A21" s="14" t="str">
        <x:v>P9</x:v>
      </x:c>
      <x:c r="B21" s="16" t="str">
        <x:f>IF(A21="","",IF(OR(M21="",N21="",O21=""),"Needs Weighing",IF(MAX(0,O21-N21)&lt;=0,"Empty",IF(MAX(0,O21-N21)/M21&lt;0.25,"Low","In Stock"))))</x:f>
        <x:v>Needs Weighing</x:v>
      </x:c>
      <x:c r="C21" s="14" t="str">
        <x:v>PLA</x:v>
      </x:c>
      <x:c r="D21" s="14" t="str">
        <x:v>None</x:v>
      </x:c>
      <x:c r="E21" s="14" t="str">
        <x:v>Marble</x:v>
      </x:c>
      <x:c r="F21" s="14" t="str">
        <x:v>White</x:v>
      </x:c>
      <x:c r="G21" s="14" t="str">
        <x:v>AMOLEN</x:v>
      </x:c>
      <x:c r="H21" s="14"/>
      <x:c r="I21" s="14" t="str">
        <x:v>No</x:v>
      </x:c>
      <x:c r="J21" s="22" t="n">
        <x:v>1.75</x:v>
      </x:c>
      <x:c r="K21" s="22" t="n">
        <x:v>0.03</x:v>
      </x:c>
      <x:c r="L21" s="22" t="n">
        <x:v>1.24</x:v>
      </x:c>
      <x:c r="M21" s="22" t="n">
        <x:v>225</x:v>
      </x:c>
      <x:c r="N21" s="48"/>
      <x:c r="O21" s="49"/>
      <x:c r="P21" s="59" t="str">
        <x:f>IF(OR(M21="",N21="",O21=""),"",MAX(0,O21-N21))</x:f>
      </x:c>
      <x:c r="Q21" s="28" t="str">
        <x:f>IF(OR(M21="",P21=""),"",MIN(1,MAX(0,P21/M21)))</x:f>
      </x:c>
      <x:c r="R21" s="26" t="str">
        <x:f>IF(OR(M21="",P21=""),"",MAX(0,M21-P21))</x:f>
      </x:c>
      <x:c r="S21" s="30" t="str">
        <x:f>IF(OR(P21="",L21="",J21=""),"",P21/(L21*PI()*(J21/2)^2))</x:f>
      </x:c>
      <x:c r="T21" s="60" t="str">
        <x:f>IF(OR(M21="",N21=""),"",M21+N21)</x:f>
      </x:c>
      <x:c r="U21" s="32" t="n">
        <x:v>100</x:v>
      </x:c>
      <x:c r="V21" s="34" t="n">
        <x:v>210</x:v>
      </x:c>
      <x:c r="W21" s="34" t="n">
        <x:v>60</x:v>
      </x:c>
      <x:c r="X21" s="34" t="n">
        <x:v>0</x:v>
      </x:c>
      <x:c r="Y21" s="22" t="n">
        <x:v>0.75</x:v>
      </x:c>
      <x:c r="Z21" s="22" t="n">
        <x:v>70</x:v>
      </x:c>
      <x:c r="AA21" s="36"/>
      <x:c r="AB21" s="14" t="str">
        <x:v>Amazon</x:v>
      </x:c>
      <x:c r="AC21" s="38" t="n">
        <x:v>44271</x:v>
      </x:c>
      <x:c r="AD21" s="40" t="n">
        <x:v>44343.652083333334</x:v>
      </x:c>
      <x:c r="AE21" s="40" t="n">
        <x:v>44344.71041666667</x:v>
      </x:c>
      <x:c r="AF21" s="42" t="n">
        <x:v>9</x:v>
      </x:c>
      <x:c r="AG21" s="44" t="n">
        <x:f>IF(OR(AF21="",M21=""),"",AF21/M21)</x:f>
        <x:v>0.04</x:v>
      </x:c>
      <x:c r="AH21" s="14"/>
    </x:row>
    <x:row r="22">
      <x:c r="A22" s="14" t="str">
        <x:v>P13</x:v>
      </x:c>
      <x:c r="B22" s="16" t="str">
        <x:f>IF(A22="","",IF(OR(M22="",N22="",O22=""),"Needs Weighing",IF(MAX(0,O22-N22)&lt;=0,"Empty",IF(MAX(0,O22-N22)/M22&lt;0.25,"Low","In Stock"))))</x:f>
        <x:v>Needs Weighing</x:v>
      </x:c>
      <x:c r="C22" s="14" t="str">
        <x:v>PLA</x:v>
      </x:c>
      <x:c r="D22" s="14" t="str">
        <x:v>None</x:v>
      </x:c>
      <x:c r="E22" s="14" t="str">
        <x:v>Rainbow</x:v>
      </x:c>
      <x:c r="F22" s="14" t="str">
        <x:v>Multi-Color</x:v>
      </x:c>
      <x:c r="G22" s="14" t="str">
        <x:v>SUPPLY3D</x:v>
      </x:c>
      <x:c r="H22" s="14"/>
      <x:c r="I22" s="14" t="str">
        <x:v>No</x:v>
      </x:c>
      <x:c r="J22" s="22" t="n">
        <x:v>1.75</x:v>
      </x:c>
      <x:c r="K22" s="22" t="n">
        <x:v>0.03</x:v>
      </x:c>
      <x:c r="L22" s="22" t="n">
        <x:v>1.24</x:v>
      </x:c>
      <x:c r="M22" s="22" t="n">
        <x:v>1000</x:v>
      </x:c>
      <x:c r="N22" s="48"/>
      <x:c r="O22" s="49"/>
      <x:c r="P22" s="59" t="str">
        <x:f>IF(OR(M22="",N22="",O22=""),"",MAX(0,O22-N22))</x:f>
      </x:c>
      <x:c r="Q22" s="28" t="str">
        <x:f>IF(OR(M22="",P22=""),"",MIN(1,MAX(0,P22/M22)))</x:f>
      </x:c>
      <x:c r="R22" s="26" t="str">
        <x:f>IF(OR(M22="",P22=""),"",MAX(0,M22-P22))</x:f>
      </x:c>
      <x:c r="S22" s="30" t="str">
        <x:f>IF(OR(P22="",L22="",J22=""),"",P22/(L22*PI()*(J22/2)^2))</x:f>
      </x:c>
      <x:c r="T22" s="60" t="str">
        <x:f>IF(OR(M22="",N22=""),"",M22+N22)</x:f>
      </x:c>
      <x:c r="U22" s="32" t="n">
        <x:v>100</x:v>
      </x:c>
      <x:c r="V22" s="34" t="n">
        <x:v>195</x:v>
      </x:c>
      <x:c r="W22" s="34" t="n">
        <x:v>60</x:v>
      </x:c>
      <x:c r="X22" s="34" t="n">
        <x:v>0</x:v>
      </x:c>
      <x:c r="Y22" s="22" t="n">
        <x:v>0.75</x:v>
      </x:c>
      <x:c r="Z22" s="22" t="n">
        <x:v>70</x:v>
      </x:c>
      <x:c r="AA22" s="36"/>
      <x:c r="AB22" s="14" t="str">
        <x:v>Amazon</x:v>
      </x:c>
      <x:c r="AC22" s="38" t="n">
        <x:v>44271</x:v>
      </x:c>
      <x:c r="AD22" s="40" t="n">
        <x:v>44344.82152777778</x:v>
      </x:c>
      <x:c r="AE22" s="40" t="n">
        <x:v>44349.10763888889</x:v>
      </x:c>
      <x:c r="AF22" s="42" t="n">
        <x:v>25</x:v>
      </x:c>
      <x:c r="AG22" s="44" t="n">
        <x:f>IF(OR(AF22="",M22=""),"",AF22/M22)</x:f>
        <x:v>0.025</x:v>
      </x:c>
      <x:c r="AH22" s="14"/>
    </x:row>
    <x:row r="23">
      <x:c r="A23" s="14" t="str">
        <x:v>P4</x:v>
      </x:c>
      <x:c r="B23" s="16" t="str">
        <x:f>IF(A23="","",IF(OR(M23="",N23="",O23=""),"Needs Weighing",IF(MAX(0,O23-N23)&lt;=0,"Empty",IF(MAX(0,O23-N23)/M23&lt;0.25,"Low","In Stock"))))</x:f>
        <x:v>Needs Weighing</x:v>
      </x:c>
      <x:c r="C23" s="14" t="str">
        <x:v>PLA</x:v>
      </x:c>
      <x:c r="D23" s="14" t="str">
        <x:v>None</x:v>
      </x:c>
      <x:c r="E23" s="14" t="str">
        <x:v>Standard</x:v>
      </x:c>
      <x:c r="F23" s="14" t="str">
        <x:v>Red</x:v>
      </x:c>
      <x:c r="G23" s="14" t="str">
        <x:v>SUNLU</x:v>
      </x:c>
      <x:c r="H23" s="14"/>
      <x:c r="I23" s="14" t="str">
        <x:v>No</x:v>
      </x:c>
      <x:c r="J23" s="22" t="n">
        <x:v>1.75</x:v>
      </x:c>
      <x:c r="K23" s="22" t="n">
        <x:v>0.02</x:v>
      </x:c>
      <x:c r="L23" s="22" t="n">
        <x:v>1.24</x:v>
      </x:c>
      <x:c r="M23" s="22" t="n">
        <x:v>1000</x:v>
      </x:c>
      <x:c r="N23" s="48"/>
      <x:c r="O23" s="49"/>
      <x:c r="P23" s="59" t="str">
        <x:f>IF(OR(M23="",N23="",O23=""),"",MAX(0,O23-N23))</x:f>
      </x:c>
      <x:c r="Q23" s="28" t="str">
        <x:f>IF(OR(M23="",P23=""),"",MIN(1,MAX(0,P23/M23)))</x:f>
      </x:c>
      <x:c r="R23" s="26" t="str">
        <x:f>IF(OR(M23="",P23=""),"",MAX(0,M23-P23))</x:f>
      </x:c>
      <x:c r="S23" s="30" t="str">
        <x:f>IF(OR(P23="",L23="",J23=""),"",P23/(L23*PI()*(J23/2)^2))</x:f>
      </x:c>
      <x:c r="T23" s="60" t="str">
        <x:f>IF(OR(M23="",N23=""),"",M23+N23)</x:f>
      </x:c>
      <x:c r="U23" s="32" t="n">
        <x:v>100</x:v>
      </x:c>
      <x:c r="V23" s="34" t="n">
        <x:v>210</x:v>
      </x:c>
      <x:c r="W23" s="34" t="n">
        <x:v>60</x:v>
      </x:c>
      <x:c r="X23" s="34" t="n">
        <x:v>0</x:v>
      </x:c>
      <x:c r="Y23" s="22" t="n">
        <x:v>0.75</x:v>
      </x:c>
      <x:c r="Z23" s="22" t="n">
        <x:v>70</x:v>
      </x:c>
      <x:c r="AA23" s="36"/>
      <x:c r="AB23" s="14" t="str">
        <x:v>Amazon</x:v>
      </x:c>
      <x:c r="AC23" s="38" t="n">
        <x:v>44312</x:v>
      </x:c>
      <x:c r="AD23" s="40"/>
      <x:c r="AE23" s="40"/>
      <x:c r="AF23" s="42" t="n">
        <x:v>18</x:v>
      </x:c>
      <x:c r="AG23" s="44" t="n">
        <x:f>IF(OR(AF23="",M23=""),"",AF23/M23)</x:f>
        <x:v>0.018</x:v>
      </x:c>
      <x:c r="AH23" s="14"/>
    </x:row>
    <x:row r="24">
      <x:c r="A24" s="14" t="str">
        <x:v>P10</x:v>
      </x:c>
      <x:c r="B24" s="16" t="str">
        <x:f>IF(A24="","",IF(OR(M24="",N24="",O24=""),"Needs Weighing",IF(MAX(0,O24-N24)&lt;=0,"Empty",IF(MAX(0,O24-N24)/M24&lt;0.25,"Low","In Stock"))))</x:f>
        <x:v>Needs Weighing</x:v>
      </x:c>
      <x:c r="C24" s="14" t="str">
        <x:v>PLA</x:v>
      </x:c>
      <x:c r="D24" s="14" t="str">
        <x:v>None</x:v>
      </x:c>
      <x:c r="E24" s="14" t="str">
        <x:v>Color Change</x:v>
      </x:c>
      <x:c r="F24" s="14" t="str">
        <x:v>Multi-Color</x:v>
      </x:c>
      <x:c r="G24" s="14" t="str">
        <x:v>AMOLEN</x:v>
      </x:c>
      <x:c r="H24" s="14"/>
      <x:c r="I24" s="14" t="str">
        <x:v>No</x:v>
      </x:c>
      <x:c r="J24" s="22" t="n">
        <x:v>1.75</x:v>
      </x:c>
      <x:c r="K24" s="22" t="n">
        <x:v>0.03</x:v>
      </x:c>
      <x:c r="L24" s="22" t="n">
        <x:v>1.24</x:v>
      </x:c>
      <x:c r="M24" s="22" t="n">
        <x:v>200</x:v>
      </x:c>
      <x:c r="N24" s="48"/>
      <x:c r="O24" s="49"/>
      <x:c r="P24" s="59" t="str">
        <x:f>IF(OR(M24="",N24="",O24=""),"",MAX(0,O24-N24))</x:f>
      </x:c>
      <x:c r="Q24" s="28" t="str">
        <x:f>IF(OR(M24="",P24=""),"",MIN(1,MAX(0,P24/M24)))</x:f>
      </x:c>
      <x:c r="R24" s="26" t="str">
        <x:f>IF(OR(M24="",P24=""),"",MAX(0,M24-P24))</x:f>
      </x:c>
      <x:c r="S24" s="30" t="str">
        <x:f>IF(OR(P24="",L24="",J24=""),"",P24/(L24*PI()*(J24/2)^2))</x:f>
      </x:c>
      <x:c r="T24" s="60" t="str">
        <x:f>IF(OR(M24="",N24=""),"",M24+N24)</x:f>
      </x:c>
      <x:c r="U24" s="32" t="n">
        <x:v>100</x:v>
      </x:c>
      <x:c r="V24" s="34" t="n">
        <x:v>210</x:v>
      </x:c>
      <x:c r="W24" s="34" t="n">
        <x:v>60</x:v>
      </x:c>
      <x:c r="X24" s="34" t="n">
        <x:v>0</x:v>
      </x:c>
      <x:c r="Y24" s="22" t="n">
        <x:v>0.75</x:v>
      </x:c>
      <x:c r="Z24" s="22" t="n">
        <x:v>70</x:v>
      </x:c>
      <x:c r="AA24" s="36"/>
      <x:c r="AB24" s="14" t="str">
        <x:v>Amazon</x:v>
      </x:c>
      <x:c r="AC24" s="38" t="n">
        <x:v>44271</x:v>
      </x:c>
      <x:c r="AD24" s="40"/>
      <x:c r="AE24" s="40"/>
      <x:c r="AF24" s="42" t="n">
        <x:v>9</x:v>
      </x:c>
      <x:c r="AG24" s="44" t="n">
        <x:f>IF(OR(AF24="",M24=""),"",AF24/M24)</x:f>
        <x:v>0.045</x:v>
      </x:c>
      <x:c r="AH24" s="14"/>
    </x:row>
    <x:row r="25">
      <x:c r="A25" s="14" t="str">
        <x:v>P11</x:v>
      </x:c>
      <x:c r="B25" s="16" t="str">
        <x:f>IF(A25="","",IF(OR(M25="",N25="",O25=""),"Needs Weighing",IF(MAX(0,O25-N25)&lt;=0,"Empty",IF(MAX(0,O25-N25)/M25&lt;0.25,"Low","In Stock"))))</x:f>
        <x:v>Needs Weighing</x:v>
      </x:c>
      <x:c r="C25" s="14" t="str">
        <x:v>PLA</x:v>
      </x:c>
      <x:c r="D25" s="14" t="str">
        <x:v>None</x:v>
      </x:c>
      <x:c r="E25" s="14" t="str">
        <x:v>Matte</x:v>
      </x:c>
      <x:c r="F25" s="14" t="str">
        <x:v>Gray</x:v>
      </x:c>
      <x:c r="G25" s="14" t="str">
        <x:v>ELEGOO</x:v>
      </x:c>
      <x:c r="H25" s="14"/>
      <x:c r="I25" s="14" t="str">
        <x:v>No</x:v>
      </x:c>
      <x:c r="J25" s="22" t="n">
        <x:v>1.75</x:v>
      </x:c>
      <x:c r="K25" s="22" t="n">
        <x:v>0.03</x:v>
      </x:c>
      <x:c r="L25" s="22" t="n">
        <x:v>1.24</x:v>
      </x:c>
      <x:c r="M25" s="22" t="n">
        <x:v>1000</x:v>
      </x:c>
      <x:c r="N25" s="48"/>
      <x:c r="O25" s="49"/>
      <x:c r="P25" s="59" t="str">
        <x:f>IF(OR(M25="",N25="",O25=""),"",MAX(0,O25-N25))</x:f>
      </x:c>
      <x:c r="Q25" s="28" t="str">
        <x:f>IF(OR(M25="",P25=""),"",MIN(1,MAX(0,P25/M25)))</x:f>
      </x:c>
      <x:c r="R25" s="26" t="str">
        <x:f>IF(OR(M25="",P25=""),"",MAX(0,M25-P25))</x:f>
      </x:c>
      <x:c r="S25" s="30" t="str">
        <x:f>IF(OR(P25="",L25="",J25=""),"",P25/(L25*PI()*(J25/2)^2))</x:f>
      </x:c>
      <x:c r="T25" s="60" t="str">
        <x:f>IF(OR(M25="",N25=""),"",M25+N25)</x:f>
      </x:c>
      <x:c r="U25" s="32" t="n">
        <x:v>100</x:v>
      </x:c>
      <x:c r="V25" s="34" t="n">
        <x:v>210</x:v>
      </x:c>
      <x:c r="W25" s="34" t="n">
        <x:v>60</x:v>
      </x:c>
      <x:c r="X25" s="34" t="n">
        <x:v>0</x:v>
      </x:c>
      <x:c r="Y25" s="22" t="n">
        <x:v>0.75</x:v>
      </x:c>
      <x:c r="Z25" s="22" t="n">
        <x:v>70</x:v>
      </x:c>
      <x:c r="AA25" s="36"/>
      <x:c r="AB25" s="14" t="str">
        <x:v>Amazon</x:v>
      </x:c>
      <x:c r="AC25" s="38" t="n">
        <x:v>44271</x:v>
      </x:c>
      <x:c r="AD25" s="40"/>
      <x:c r="AE25" s="40"/>
      <x:c r="AF25" s="42" t="n">
        <x:v>9</x:v>
      </x:c>
      <x:c r="AG25" s="44" t="n">
        <x:f>IF(OR(AF25="",M25=""),"",AF25/M25)</x:f>
        <x:v>0.009</x:v>
      </x:c>
      <x:c r="AH25" s="14"/>
    </x:row>
    <x:row r="26">
      <x:c r="A26" s="14" t="str">
        <x:v>A1</x:v>
      </x:c>
      <x:c r="B26" s="16" t="str">
        <x:f>IF(A26="","",IF(OR(M26="",N26="",O26=""),"Needs Weighing",IF(MAX(0,O26-N26)&lt;=0,"Empty",IF(MAX(0,O26-N26)/M26&lt;0.25,"Low","In Stock"))))</x:f>
        <x:v>Needs Weighing</x:v>
      </x:c>
      <x:c r="C26" s="14" t="str">
        <x:v>PLA+</x:v>
      </x:c>
      <x:c r="D26" s="14" t="str">
        <x:v>None</x:v>
      </x:c>
      <x:c r="E26" s="14" t="str">
        <x:v>Standard</x:v>
      </x:c>
      <x:c r="F26" s="14" t="str">
        <x:v>Black</x:v>
      </x:c>
      <x:c r="G26" s="14" t="str">
        <x:v>SUNLU</x:v>
      </x:c>
      <x:c r="H26" s="14"/>
      <x:c r="I26" s="14" t="str">
        <x:v>Yes</x:v>
      </x:c>
      <x:c r="J26" s="22" t="n">
        <x:v>1.75</x:v>
      </x:c>
      <x:c r="K26" s="22" t="n">
        <x:v>0.02</x:v>
      </x:c>
      <x:c r="L26" s="22" t="n">
        <x:v>1.24</x:v>
      </x:c>
      <x:c r="M26" s="22" t="n">
        <x:v>1000</x:v>
      </x:c>
      <x:c r="N26" s="48"/>
      <x:c r="O26" s="49"/>
      <x:c r="P26" s="59" t="str">
        <x:f>IF(OR(M26="",N26="",O26=""),"",MAX(0,O26-N26))</x:f>
      </x:c>
      <x:c r="Q26" s="28" t="str">
        <x:f>IF(OR(M26="",P26=""),"",MIN(1,MAX(0,P26/M26)))</x:f>
      </x:c>
      <x:c r="R26" s="26" t="str">
        <x:f>IF(OR(M26="",P26=""),"",MAX(0,M26-P26))</x:f>
      </x:c>
      <x:c r="S26" s="30" t="str">
        <x:f>IF(OR(P26="",L26="",J26=""),"",P26/(L26*PI()*(J26/2)^2))</x:f>
      </x:c>
      <x:c r="T26" s="60" t="str">
        <x:f>IF(OR(M26="",N26=""),"",M26+N26)</x:f>
      </x:c>
      <x:c r="U26" s="32" t="n">
        <x:v>100</x:v>
      </x:c>
      <x:c r="V26" s="34" t="n">
        <x:v>220</x:v>
      </x:c>
      <x:c r="W26" s="34" t="n">
        <x:v>70</x:v>
      </x:c>
      <x:c r="X26" s="34" t="n">
        <x:v>0</x:v>
      </x:c>
      <x:c r="Y26" s="22" t="n">
        <x:v>0.75</x:v>
      </x:c>
      <x:c r="Z26" s="22" t="n">
        <x:v>70</x:v>
      </x:c>
      <x:c r="AA26" s="36"/>
      <x:c r="AB26" s="14" t="str">
        <x:v>Amazon</x:v>
      </x:c>
      <x:c r="AC26" s="38" t="n">
        <x:v>44271</x:v>
      </x:c>
      <x:c r="AD26" s="40"/>
      <x:c r="AE26" s="40"/>
      <x:c r="AF26" s="42" t="n">
        <x:v>21</x:v>
      </x:c>
      <x:c r="AG26" s="44" t="n">
        <x:f>IF(OR(AF26="",M26=""),"",AF26/M26)</x:f>
        <x:v>0.021</x:v>
      </x:c>
      <x:c r="AH26" s="14"/>
    </x:row>
    <x:row r="27">
      <x:c r="A27" s="14" t="str">
        <x:v>A2</x:v>
      </x:c>
      <x:c r="B27" s="16" t="str">
        <x:f>IF(A27="","",IF(OR(M27="",N27="",O27=""),"Needs Weighing",IF(MAX(0,O27-N27)&lt;=0,"Empty",IF(MAX(0,O27-N27)/M27&lt;0.25,"Low","In Stock"))))</x:f>
        <x:v>Needs Weighing</x:v>
      </x:c>
      <x:c r="C27" s="14" t="str">
        <x:v>PLA+</x:v>
      </x:c>
      <x:c r="D27" s="14" t="str">
        <x:v>None</x:v>
      </x:c>
      <x:c r="E27" s="14" t="str">
        <x:v>Standard</x:v>
      </x:c>
      <x:c r="F27" s="14" t="str">
        <x:v>Orange</x:v>
      </x:c>
      <x:c r="G27" s="14" t="str">
        <x:v>SUNLU</x:v>
      </x:c>
      <x:c r="H27" s="14"/>
      <x:c r="I27" s="14" t="str">
        <x:v>Yes</x:v>
      </x:c>
      <x:c r="J27" s="22" t="n">
        <x:v>1.75</x:v>
      </x:c>
      <x:c r="K27" s="22" t="n">
        <x:v>0.02</x:v>
      </x:c>
      <x:c r="L27" s="22" t="n">
        <x:v>1.24</x:v>
      </x:c>
      <x:c r="M27" s="22" t="n">
        <x:v>1000</x:v>
      </x:c>
      <x:c r="N27" s="48"/>
      <x:c r="O27" s="49"/>
      <x:c r="P27" s="59" t="str">
        <x:f>IF(OR(M27="",N27="",O27=""),"",MAX(0,O27-N27))</x:f>
      </x:c>
      <x:c r="Q27" s="28" t="str">
        <x:f>IF(OR(M27="",P27=""),"",MIN(1,MAX(0,P27/M27)))</x:f>
      </x:c>
      <x:c r="R27" s="26" t="str">
        <x:f>IF(OR(M27="",P27=""),"",MAX(0,M27-P27))</x:f>
      </x:c>
      <x:c r="S27" s="30" t="str">
        <x:f>IF(OR(P27="",L27="",J27=""),"",P27/(L27*PI()*(J27/2)^2))</x:f>
      </x:c>
      <x:c r="T27" s="60" t="str">
        <x:f>IF(OR(M27="",N27=""),"",M27+N27)</x:f>
      </x:c>
      <x:c r="U27" s="32" t="n">
        <x:v>100</x:v>
      </x:c>
      <x:c r="V27" s="34" t="n">
        <x:v>220</x:v>
      </x:c>
      <x:c r="W27" s="34" t="n">
        <x:v>70</x:v>
      </x:c>
      <x:c r="X27" s="34" t="n">
        <x:v>0</x:v>
      </x:c>
      <x:c r="Y27" s="22" t="n">
        <x:v>0.75</x:v>
      </x:c>
      <x:c r="Z27" s="22" t="n">
        <x:v>70</x:v>
      </x:c>
      <x:c r="AA27" s="36"/>
      <x:c r="AB27" s="14" t="str">
        <x:v>Amazon</x:v>
      </x:c>
      <x:c r="AC27" s="38" t="n">
        <x:v>44271</x:v>
      </x:c>
      <x:c r="AD27" s="40" t="n">
        <x:v>44341.95347222222</x:v>
      </x:c>
      <x:c r="AE27" s="40" t="n">
        <x:v>44630.10486111111</x:v>
      </x:c>
      <x:c r="AF27" s="42" t="n">
        <x:v>23</x:v>
      </x:c>
      <x:c r="AG27" s="44" t="n">
        <x:f>IF(OR(AF27="",M27=""),"",AF27/M27)</x:f>
        <x:v>0.023</x:v>
      </x:c>
      <x:c r="AH27" s="14"/>
    </x:row>
    <x:row r="28">
      <x:c r="A28" s="14" t="str">
        <x:v>A3</x:v>
      </x:c>
      <x:c r="B28" s="16" t="str">
        <x:f>IF(A28="","",IF(OR(M28="",N28="",O28=""),"Needs Weighing",IF(MAX(0,O28-N28)&lt;=0,"Empty",IF(MAX(0,O28-N28)/M28&lt;0.25,"Low","In Stock"))))</x:f>
        <x:v>Needs Weighing</x:v>
      </x:c>
      <x:c r="C28" s="14" t="str">
        <x:v>PLA+</x:v>
      </x:c>
      <x:c r="D28" s="14" t="str">
        <x:v>Wood</x:v>
      </x:c>
      <x:c r="E28" s="14" t="str">
        <x:v>Standard</x:v>
      </x:c>
      <x:c r="F28" s="14" t="str">
        <x:v>Brown</x:v>
      </x:c>
      <x:c r="G28" s="14" t="str">
        <x:v>ISANMATE</x:v>
      </x:c>
      <x:c r="H28" s="14"/>
      <x:c r="I28" s="14" t="str">
        <x:v>No</x:v>
      </x:c>
      <x:c r="J28" s="22" t="n">
        <x:v>1.75</x:v>
      </x:c>
      <x:c r="K28" s="22" t="n">
        <x:v>0.03</x:v>
      </x:c>
      <x:c r="L28" s="22" t="n">
        <x:v>1.24</x:v>
      </x:c>
      <x:c r="M28" s="22" t="n">
        <x:v>1000</x:v>
      </x:c>
      <x:c r="N28" s="48"/>
      <x:c r="O28" s="49"/>
      <x:c r="P28" s="59" t="str">
        <x:f>IF(OR(M28="",N28="",O28=""),"",MAX(0,O28-N28))</x:f>
      </x:c>
      <x:c r="Q28" s="28" t="str">
        <x:f>IF(OR(M28="",P28=""),"",MIN(1,MAX(0,P28/M28)))</x:f>
      </x:c>
      <x:c r="R28" s="26" t="str">
        <x:f>IF(OR(M28="",P28=""),"",MAX(0,M28-P28))</x:f>
      </x:c>
      <x:c r="S28" s="30" t="str">
        <x:f>IF(OR(P28="",L28="",J28=""),"",P28/(L28*PI()*(J28/2)^2))</x:f>
      </x:c>
      <x:c r="T28" s="60" t="str">
        <x:f>IF(OR(M28="",N28=""),"",M28+N28)</x:f>
      </x:c>
      <x:c r="U28" s="32" t="n">
        <x:v>100</x:v>
      </x:c>
      <x:c r="V28" s="34" t="n">
        <x:v>220</x:v>
      </x:c>
      <x:c r="W28" s="34" t="n">
        <x:v>70</x:v>
      </x:c>
      <x:c r="X28" s="34" t="n">
        <x:v>0</x:v>
      </x:c>
      <x:c r="Y28" s="22" t="n">
        <x:v>0.75</x:v>
      </x:c>
      <x:c r="Z28" s="22" t="n">
        <x:v>70</x:v>
      </x:c>
      <x:c r="AA28" s="36"/>
      <x:c r="AB28" s="14" t="str">
        <x:v>Amazon</x:v>
      </x:c>
      <x:c r="AC28" s="38" t="n">
        <x:v>44271</x:v>
      </x:c>
      <x:c r="AD28" s="40"/>
      <x:c r="AE28" s="40"/>
      <x:c r="AF28" s="42" t="n">
        <x:v>25</x:v>
      </x:c>
      <x:c r="AG28" s="44" t="n">
        <x:f>IF(OR(AF28="",M28=""),"",AF28/M28)</x:f>
        <x:v>0.025</x:v>
      </x:c>
      <x:c r="AH28" s="14"/>
    </x:row>
    <x:row r="29">
      <x:c r="A29" s="14" t="str">
        <x:v>PP1</x:v>
      </x:c>
      <x:c r="B29" s="16" t="str">
        <x:f>IF(A29="","",IF(OR(M29="",N29="",O29=""),"Needs Weighing",IF(MAX(0,O29-N29)&lt;=0,"Empty",IF(MAX(0,O29-N29)/M29&lt;0.25,"Low","In Stock"))))</x:f>
        <x:v>Needs Weighing</x:v>
      </x:c>
      <x:c r="C29" s="14" t="str">
        <x:v>PP</x:v>
      </x:c>
      <x:c r="D29" s="14" t="str">
        <x:v>None</x:v>
      </x:c>
      <x:c r="E29" s="14" t="str">
        <x:v>Standard</x:v>
      </x:c>
      <x:c r="F29" s="14" t="str">
        <x:v>Black</x:v>
      </x:c>
      <x:c r="G29" s="14" t="str">
        <x:v>FIBERLOGY</x:v>
      </x:c>
      <x:c r="H29" s="14"/>
      <x:c r="I29" s="14" t="str">
        <x:v>No</x:v>
      </x:c>
      <x:c r="J29" s="22" t="n">
        <x:v>1.75</x:v>
      </x:c>
      <x:c r="K29" s="22" t="n">
        <x:v>0.05</x:v>
      </x:c>
      <x:c r="L29" s="22" t="n">
        <x:v>0.9</x:v>
      </x:c>
      <x:c r="M29" s="22" t="n">
        <x:v>1000</x:v>
      </x:c>
      <x:c r="N29" s="48"/>
      <x:c r="O29" s="49"/>
      <x:c r="P29" s="59" t="str">
        <x:f>IF(OR(M29="",N29="",O29=""),"",MAX(0,O29-N29))</x:f>
      </x:c>
      <x:c r="Q29" s="28" t="str">
        <x:f>IF(OR(M29="",P29=""),"",MIN(1,MAX(0,P29/M29)))</x:f>
      </x:c>
      <x:c r="R29" s="26" t="str">
        <x:f>IF(OR(M29="",P29=""),"",MAX(0,M29-P29))</x:f>
      </x:c>
      <x:c r="S29" s="30" t="str">
        <x:f>IF(OR(P29="",L29="",J29=""),"",P29/(L29*PI()*(J29/2)^2))</x:f>
      </x:c>
      <x:c r="T29" s="60" t="str">
        <x:f>IF(OR(M29="",N29=""),"",M29+N29)</x:f>
      </x:c>
      <x:c r="U29" s="32"/>
      <x:c r="V29" s="34"/>
      <x:c r="W29" s="34"/>
      <x:c r="X29" s="34"/>
      <x:c r="Y29" s="22" t="n">
        <x:v>0.75</x:v>
      </x:c>
      <x:c r="Z29" s="22" t="n">
        <x:v>70</x:v>
      </x:c>
      <x:c r="AA29" s="36"/>
      <x:c r="AB29" s="14"/>
      <x:c r="AC29" s="38"/>
      <x:c r="AD29" s="40"/>
      <x:c r="AE29" s="40"/>
      <x:c r="AF29" s="42"/>
      <x:c r="AG29" s="44" t="str">
        <x:f>IF(OR(AF29="",M29=""),"",AF29/M29)</x:f>
      </x:c>
      <x:c r="AH29" s="14"/>
    </x:row>
    <x:row r="30">
      <x:c r="A30" s="14" t="str">
        <x:v>P5</x:v>
      </x:c>
      <x:c r="B30" s="16" t="str">
        <x:f>IF(A30="","",IF(OR(M30="",N30="",O30=""),"Needs Weighing",IF(MAX(0,O30-N30)&lt;=0,"Empty",IF(MAX(0,O30-N30)/M30&lt;0.25,"Low","In Stock"))))</x:f>
        <x:v>Needs Weighing</x:v>
      </x:c>
      <x:c r="C30" s="14" t="str">
        <x:v>PLA</x:v>
      </x:c>
      <x:c r="D30" s="14" t="str">
        <x:v>None</x:v>
      </x:c>
      <x:c r="E30" s="14" t="str">
        <x:v>Silk</x:v>
      </x:c>
      <x:c r="F30" s="14" t="str">
        <x:v>Copper</x:v>
      </x:c>
      <x:c r="G30" s="14" t="str">
        <x:v>ERYONE</x:v>
      </x:c>
      <x:c r="H30" s="14"/>
      <x:c r="I30" s="14" t="str">
        <x:v>No</x:v>
      </x:c>
      <x:c r="J30" s="22" t="n">
        <x:v>1.75</x:v>
      </x:c>
      <x:c r="K30" s="22" t="n">
        <x:v>0.05</x:v>
      </x:c>
      <x:c r="L30" s="22" t="n">
        <x:v>1.24</x:v>
      </x:c>
      <x:c r="M30" s="22" t="n">
        <x:v>500</x:v>
      </x:c>
      <x:c r="N30" s="48"/>
      <x:c r="O30" s="49"/>
      <x:c r="P30" s="59" t="str">
        <x:f>IF(OR(M30="",N30="",O30=""),"",MAX(0,O30-N30))</x:f>
      </x:c>
      <x:c r="Q30" s="28" t="str">
        <x:f>IF(OR(M30="",P30=""),"",MIN(1,MAX(0,P30/M30)))</x:f>
      </x:c>
      <x:c r="R30" s="26" t="str">
        <x:f>IF(OR(M30="",P30=""),"",MAX(0,M30-P30))</x:f>
      </x:c>
      <x:c r="S30" s="30" t="str">
        <x:f>IF(OR(P30="",L30="",J30=""),"",P30/(L30*PI()*(J30/2)^2))</x:f>
      </x:c>
      <x:c r="T30" s="60" t="str">
        <x:f>IF(OR(M30="",N30=""),"",M30+N30)</x:f>
      </x:c>
      <x:c r="U30" s="32" t="n">
        <x:v>100</x:v>
      </x:c>
      <x:c r="V30" s="34" t="n">
        <x:v>190</x:v>
      </x:c>
      <x:c r="W30" s="34" t="n">
        <x:v>40</x:v>
      </x:c>
      <x:c r="X30" s="34" t="n">
        <x:v>0</x:v>
      </x:c>
      <x:c r="Y30" s="22" t="n">
        <x:v>0.75</x:v>
      </x:c>
      <x:c r="Z30" s="22" t="n">
        <x:v>70</x:v>
      </x:c>
      <x:c r="AA30" s="36"/>
      <x:c r="AB30" s="14" t="str">
        <x:v>Amazon</x:v>
      </x:c>
      <x:c r="AC30" s="38" t="n">
        <x:v>44271</x:v>
      </x:c>
      <x:c r="AD30" s="40"/>
      <x:c r="AE30" s="40"/>
      <x:c r="AF30" s="42" t="n">
        <x:v>12.3</x:v>
      </x:c>
      <x:c r="AG30" s="44" t="n">
        <x:f>IF(OR(AF30="",M30=""),"",AF30/M30)</x:f>
        <x:v>0.0246</x:v>
      </x:c>
      <x:c r="AH30" s="14"/>
    </x:row>
    <x:row r="31">
      <x:c r="A31" s="14" t="str">
        <x:v>P6</x:v>
      </x:c>
      <x:c r="B31" s="16" t="str">
        <x:f>IF(A31="","",IF(OR(M31="",N31="",O31=""),"Needs Weighing",IF(MAX(0,O31-N31)&lt;=0,"Empty",IF(MAX(0,O31-N31)/M31&lt;0.25,"Low","In Stock"))))</x:f>
        <x:v>Needs Weighing</x:v>
      </x:c>
      <x:c r="C31" s="14" t="str">
        <x:v>PLA</x:v>
      </x:c>
      <x:c r="D31" s="14" t="str">
        <x:v>None</x:v>
      </x:c>
      <x:c r="E31" s="14" t="str">
        <x:v>Silk</x:v>
      </x:c>
      <x:c r="F31" s="14" t="str">
        <x:v>Gold</x:v>
      </x:c>
      <x:c r="G31" s="14" t="str">
        <x:v>ERYONE</x:v>
      </x:c>
      <x:c r="H31" s="14"/>
      <x:c r="I31" s="14" t="str">
        <x:v>No</x:v>
      </x:c>
      <x:c r="J31" s="22" t="n">
        <x:v>1.75</x:v>
      </x:c>
      <x:c r="K31" s="22" t="n">
        <x:v>0.05</x:v>
      </x:c>
      <x:c r="L31" s="22" t="n">
        <x:v>1.24</x:v>
      </x:c>
      <x:c r="M31" s="22" t="n">
        <x:v>500</x:v>
      </x:c>
      <x:c r="N31" s="48"/>
      <x:c r="O31" s="49"/>
      <x:c r="P31" s="59" t="str">
        <x:f>IF(OR(M31="",N31="",O31=""),"",MAX(0,O31-N31))</x:f>
      </x:c>
      <x:c r="Q31" s="28" t="str">
        <x:f>IF(OR(M31="",P31=""),"",MIN(1,MAX(0,P31/M31)))</x:f>
      </x:c>
      <x:c r="R31" s="26" t="str">
        <x:f>IF(OR(M31="",P31=""),"",MAX(0,M31-P31))</x:f>
      </x:c>
      <x:c r="S31" s="30" t="str">
        <x:f>IF(OR(P31="",L31="",J31=""),"",P31/(L31*PI()*(J31/2)^2))</x:f>
      </x:c>
      <x:c r="T31" s="60" t="str">
        <x:f>IF(OR(M31="",N31=""),"",M31+N31)</x:f>
      </x:c>
      <x:c r="U31" s="32" t="n">
        <x:v>100</x:v>
      </x:c>
      <x:c r="V31" s="34" t="n">
        <x:v>190</x:v>
      </x:c>
      <x:c r="W31" s="34" t="n">
        <x:v>40</x:v>
      </x:c>
      <x:c r="X31" s="34" t="n">
        <x:v>0</x:v>
      </x:c>
      <x:c r="Y31" s="22" t="n">
        <x:v>0.75</x:v>
      </x:c>
      <x:c r="Z31" s="22" t="n">
        <x:v>70</x:v>
      </x:c>
      <x:c r="AA31" s="36"/>
      <x:c r="AB31" s="14" t="str">
        <x:v>Amazon</x:v>
      </x:c>
      <x:c r="AC31" s="38" t="n">
        <x:v>44271</x:v>
      </x:c>
      <x:c r="AD31" s="40"/>
      <x:c r="AE31" s="40"/>
      <x:c r="AF31" s="42" t="n">
        <x:v>12.3</x:v>
      </x:c>
      <x:c r="AG31" s="44" t="n">
        <x:f>IF(OR(AF31="",M31=""),"",AF31/M31)</x:f>
        <x:v>0.0246</x:v>
      </x:c>
      <x:c r="AH31" s="14"/>
    </x:row>
    <x:row r="32">
      <x:c r="A32" s="14" t="str">
        <x:v>P11-S</x:v>
      </x:c>
      <x:c r="B32" s="16" t="str">
        <x:f>IF(A32="","",IF(OR(M32="",N32="",O32=""),"Needs Weighing",IF(MAX(0,O32-N32)&lt;=0,"Empty",IF(MAX(0,O32-N32)/M32&lt;0.25,"Low","In Stock"))))</x:f>
        <x:v>Needs Weighing</x:v>
      </x:c>
      <x:c r="C32" s="14" t="str">
        <x:v>PLA</x:v>
      </x:c>
      <x:c r="D32" s="14" t="str">
        <x:v>None</x:v>
      </x:c>
      <x:c r="E32" s="14" t="str">
        <x:v>Silk</x:v>
      </x:c>
      <x:c r="F32" s="14" t="str">
        <x:v>Multi-Color</x:v>
      </x:c>
      <x:c r="G32" s="14" t="str">
        <x:v>ERYONE</x:v>
      </x:c>
      <x:c r="H32" s="14" t="str">
        <x:v>Rainbow</x:v>
      </x:c>
      <x:c r="I32" s="14" t="str">
        <x:v>No</x:v>
      </x:c>
      <x:c r="J32" s="22" t="n">
        <x:v>1.75</x:v>
      </x:c>
      <x:c r="K32" s="22" t="n">
        <x:v>0.05</x:v>
      </x:c>
      <x:c r="L32" s="22" t="n">
        <x:v>1.24</x:v>
      </x:c>
      <x:c r="M32" s="22" t="n">
        <x:v>500</x:v>
      </x:c>
      <x:c r="N32" s="48"/>
      <x:c r="O32" s="49"/>
      <x:c r="P32" s="59" t="str">
        <x:f>IF(OR(M32="",N32="",O32=""),"",MAX(0,O32-N32))</x:f>
      </x:c>
      <x:c r="Q32" s="28" t="str">
        <x:f>IF(OR(M32="",P32=""),"",MIN(1,MAX(0,P32/M32)))</x:f>
      </x:c>
      <x:c r="R32" s="26" t="str">
        <x:f>IF(OR(M32="",P32=""),"",MAX(0,M32-P32))</x:f>
      </x:c>
      <x:c r="S32" s="30" t="str">
        <x:f>IF(OR(P32="",L32="",J32=""),"",P32/(L32*PI()*(J32/2)^2))</x:f>
      </x:c>
      <x:c r="T32" s="60" t="str">
        <x:f>IF(OR(M32="",N32=""),"",M32+N32)</x:f>
      </x:c>
      <x:c r="U32" s="32" t="n">
        <x:v>100</x:v>
      </x:c>
      <x:c r="V32" s="34" t="n">
        <x:v>190</x:v>
      </x:c>
      <x:c r="W32" s="34" t="n">
        <x:v>40</x:v>
      </x:c>
      <x:c r="X32" s="34" t="n">
        <x:v>0</x:v>
      </x:c>
      <x:c r="Y32" s="22" t="n">
        <x:v>0.75</x:v>
      </x:c>
      <x:c r="Z32" s="22" t="n">
        <x:v>70</x:v>
      </x:c>
      <x:c r="AA32" s="36"/>
      <x:c r="AB32" s="14" t="str">
        <x:v>Amazon</x:v>
      </x:c>
      <x:c r="AC32" s="38" t="n">
        <x:v>44271</x:v>
      </x:c>
      <x:c r="AD32" s="40" t="n">
        <x:v>44342.904861111114</x:v>
      </x:c>
      <x:c r="AE32" s="40" t="n">
        <x:v>44343.652083333334</x:v>
      </x:c>
      <x:c r="AF32" s="42" t="n">
        <x:v>12.3</x:v>
      </x:c>
      <x:c r="AG32" s="44" t="n">
        <x:f>IF(OR(AF32="",M32=""),"",AF32/M32)</x:f>
        <x:v>0.0246</x:v>
      </x:c>
      <x:c r="AH32" s="14" t="str">
        <x:v>Original sheet contained a duplicate spool ID: P11. Rainbow color variation.</x:v>
      </x:c>
    </x:row>
    <x:row r="33">
      <x:c r="A33" s="14" t="str">
        <x:v>S2</x:v>
      </x:c>
      <x:c r="B33" s="16" t="str">
        <x:f>IF(A33="","",IF(OR(M33="",N33="",O33=""),"Needs Weighing",IF(MAX(0,O33-N33)&lt;=0,"Empty",IF(MAX(0,O33-N33)/M33&lt;0.25,"Low","In Stock"))))</x:f>
        <x:v>Needs Weighing</x:v>
      </x:c>
      <x:c r="C33" s="14" t="str">
        <x:v>SPLA</x:v>
      </x:c>
      <x:c r="D33" s="14" t="str">
        <x:v>None</x:v>
      </x:c>
      <x:c r="E33" s="14" t="str">
        <x:v>Standard</x:v>
      </x:c>
      <x:c r="F33" s="14" t="str">
        <x:v>White</x:v>
      </x:c>
      <x:c r="G33" s="14" t="str">
        <x:v>SUNLU</x:v>
      </x:c>
      <x:c r="H33" s="14"/>
      <x:c r="I33" s="14" t="str">
        <x:v>No</x:v>
      </x:c>
      <x:c r="J33" s="22" t="n">
        <x:v>1.75</x:v>
      </x:c>
      <x:c r="K33" s="22" t="n">
        <x:v>0.05</x:v>
      </x:c>
      <x:c r="L33" s="22" t="n">
        <x:v>1.25</x:v>
      </x:c>
      <x:c r="M33" s="22" t="n">
        <x:v>1000</x:v>
      </x:c>
      <x:c r="N33" s="48"/>
      <x:c r="O33" s="49"/>
      <x:c r="P33" s="59" t="str">
        <x:f>IF(OR(M33="",N33="",O33=""),"",MAX(0,O33-N33))</x:f>
      </x:c>
      <x:c r="Q33" s="28" t="str">
        <x:f>IF(OR(M33="",P33=""),"",MIN(1,MAX(0,P33/M33)))</x:f>
      </x:c>
      <x:c r="R33" s="26" t="str">
        <x:f>IF(OR(M33="",P33=""),"",MAX(0,M33-P33))</x:f>
      </x:c>
      <x:c r="S33" s="30" t="str">
        <x:f>IF(OR(P33="",L33="",J33=""),"",P33/(L33*PI()*(J33/2)^2))</x:f>
      </x:c>
      <x:c r="T33" s="60" t="str">
        <x:f>IF(OR(M33="",N33=""),"",M33+N33)</x:f>
      </x:c>
      <x:c r="U33" s="32" t="n">
        <x:v>100</x:v>
      </x:c>
      <x:c r="V33" s="34" t="n">
        <x:v>235</x:v>
      </x:c>
      <x:c r="W33" s="34" t="n">
        <x:v>75</x:v>
      </x:c>
      <x:c r="X33" s="34" t="n">
        <x:v>0</x:v>
      </x:c>
      <x:c r="Y33" s="22" t="n">
        <x:v>0.75</x:v>
      </x:c>
      <x:c r="Z33" s="22" t="n">
        <x:v>70</x:v>
      </x:c>
      <x:c r="AA33" s="36"/>
      <x:c r="AB33" s="14" t="str">
        <x:v>Amazon</x:v>
      </x:c>
      <x:c r="AC33" s="38" t="n">
        <x:v>44271</x:v>
      </x:c>
      <x:c r="AD33" s="40"/>
      <x:c r="AE33" s="40"/>
      <x:c r="AF33" s="42" t="n">
        <x:v>15</x:v>
      </x:c>
      <x:c r="AG33" s="44" t="n">
        <x:f>IF(OR(AF33="",M33=""),"",AF33/M33)</x:f>
        <x:v>0.015</x:v>
      </x:c>
      <x:c r="AH33" s="14"/>
    </x:row>
    <x:row r="34">
      <x:c r="A34" s="14" t="str">
        <x:v>S1</x:v>
      </x:c>
      <x:c r="B34" s="16" t="str">
        <x:f>IF(A34="","",IF(OR(M34="",N34="",O34=""),"Needs Weighing",IF(MAX(0,O34-N34)&lt;=0,"Empty",IF(MAX(0,O34-N34)/M34&lt;0.25,"Low","In Stock"))))</x:f>
        <x:v>Needs Weighing</x:v>
      </x:c>
      <x:c r="C34" s="14" t="str">
        <x:v>SPLA</x:v>
      </x:c>
      <x:c r="D34" s="14" t="str">
        <x:v>None</x:v>
      </x:c>
      <x:c r="E34" s="14" t="str">
        <x:v>Standard</x:v>
      </x:c>
      <x:c r="F34" s="14" t="str">
        <x:v>White</x:v>
      </x:c>
      <x:c r="G34" s="14" t="str">
        <x:v>SUNLU</x:v>
      </x:c>
      <x:c r="H34" s="14"/>
      <x:c r="I34" s="14" t="str">
        <x:v>No</x:v>
      </x:c>
      <x:c r="J34" s="22" t="n">
        <x:v>1.75</x:v>
      </x:c>
      <x:c r="K34" s="22" t="n">
        <x:v>0.05</x:v>
      </x:c>
      <x:c r="L34" s="22" t="n">
        <x:v>1.25</x:v>
      </x:c>
      <x:c r="M34" s="22" t="n">
        <x:v>1000</x:v>
      </x:c>
      <x:c r="N34" s="48"/>
      <x:c r="O34" s="49"/>
      <x:c r="P34" s="59" t="str">
        <x:f>IF(OR(M34="",N34="",O34=""),"",MAX(0,O34-N34))</x:f>
      </x:c>
      <x:c r="Q34" s="28" t="str">
        <x:f>IF(OR(M34="",P34=""),"",MIN(1,MAX(0,P34/M34)))</x:f>
      </x:c>
      <x:c r="R34" s="26" t="str">
        <x:f>IF(OR(M34="",P34=""),"",MAX(0,M34-P34))</x:f>
      </x:c>
      <x:c r="S34" s="30" t="str">
        <x:f>IF(OR(P34="",L34="",J34=""),"",P34/(L34*PI()*(J34/2)^2))</x:f>
      </x:c>
      <x:c r="T34" s="60" t="str">
        <x:f>IF(OR(M34="",N34=""),"",M34+N34)</x:f>
      </x:c>
      <x:c r="U34" s="32" t="n">
        <x:v>100</x:v>
      </x:c>
      <x:c r="V34" s="34" t="n">
        <x:v>235</x:v>
      </x:c>
      <x:c r="W34" s="34" t="n">
        <x:v>75</x:v>
      </x:c>
      <x:c r="X34" s="34" t="n">
        <x:v>0</x:v>
      </x:c>
      <x:c r="Y34" s="22" t="n">
        <x:v>0.75</x:v>
      </x:c>
      <x:c r="Z34" s="22" t="n">
        <x:v>70</x:v>
      </x:c>
      <x:c r="AA34" s="36"/>
      <x:c r="AB34" s="14" t="str">
        <x:v>Amazon</x:v>
      </x:c>
      <x:c r="AC34" s="38" t="n">
        <x:v>44271</x:v>
      </x:c>
      <x:c r="AD34" s="40" t="n">
        <x:v>44336.05416666667</x:v>
      </x:c>
      <x:c r="AE34" s="40" t="n">
        <x:v>44632.63402777778</x:v>
      </x:c>
      <x:c r="AF34" s="42" t="n">
        <x:v>15</x:v>
      </x:c>
      <x:c r="AG34" s="44" t="n">
        <x:f>IF(OR(AF34="",M34=""),"",AF34/M34)</x:f>
        <x:v>0.015</x:v>
      </x:c>
      <x:c r="AH34" s="14"/>
    </x:row>
    <x:row r="35">
      <x:c r="A35" s="14" t="str">
        <x:v>T2</x:v>
      </x:c>
      <x:c r="B35" s="16" t="str">
        <x:f>IF(A35="","",IF(OR(M35="",N35="",O35=""),"Needs Weighing",IF(MAX(0,O35-N35)&lt;=0,"Empty",IF(MAX(0,O35-N35)/M35&lt;0.25,"Low","In Stock"))))</x:f>
        <x:v>Needs Weighing</x:v>
      </x:c>
      <x:c r="C35" s="14" t="str">
        <x:v>TPU</x:v>
      </x:c>
      <x:c r="D35" s="14" t="str">
        <x:v>None</x:v>
      </x:c>
      <x:c r="E35" s="14" t="str">
        <x:v>Standard</x:v>
      </x:c>
      <x:c r="F35" s="14" t="str">
        <x:v>Blue</x:v>
      </x:c>
      <x:c r="G35" s="14" t="str">
        <x:v>NINJATEK</x:v>
      </x:c>
      <x:c r="H35" s="14" t="str">
        <x:v>95A Shore</x:v>
      </x:c>
      <x:c r="I35" s="14" t="str">
        <x:v>Yes</x:v>
      </x:c>
      <x:c r="J35" s="22" t="n">
        <x:v>1.75</x:v>
      </x:c>
      <x:c r="K35" s="22" t="n">
        <x:v>0.02</x:v>
      </x:c>
      <x:c r="L35" s="22" t="n">
        <x:v>1.21</x:v>
      </x:c>
      <x:c r="M35" s="22" t="n">
        <x:v>500</x:v>
      </x:c>
      <x:c r="N35" s="48"/>
      <x:c r="O35" s="49"/>
      <x:c r="P35" s="59" t="str">
        <x:f>IF(OR(M35="",N35="",O35=""),"",MAX(0,O35-N35))</x:f>
      </x:c>
      <x:c r="Q35" s="28" t="str">
        <x:f>IF(OR(M35="",P35=""),"",MIN(1,MAX(0,P35/M35)))</x:f>
      </x:c>
      <x:c r="R35" s="26" t="str">
        <x:f>IF(OR(M35="",P35=""),"",MAX(0,M35-P35))</x:f>
      </x:c>
      <x:c r="S35" s="30" t="str">
        <x:f>IF(OR(P35="",L35="",J35=""),"",P35/(L35*PI()*(J35/2)^2))</x:f>
      </x:c>
      <x:c r="T35" s="60" t="str">
        <x:f>IF(OR(M35="",N35=""),"",M35+N35)</x:f>
      </x:c>
      <x:c r="U35" s="32" t="n">
        <x:v>100</x:v>
      </x:c>
      <x:c r="V35" s="34" t="n">
        <x:v>240</x:v>
      </x:c>
      <x:c r="W35" s="34" t="n">
        <x:v>40</x:v>
      </x:c>
      <x:c r="X35" s="34" t="n">
        <x:v>0</x:v>
      </x:c>
      <x:c r="Y35" s="22" t="n">
        <x:v>0.75</x:v>
      </x:c>
      <x:c r="Z35" s="22" t="n">
        <x:v>70</x:v>
      </x:c>
      <x:c r="AA35" s="36"/>
      <x:c r="AB35" s="14" t="str">
        <x:v>Amazon</x:v>
      </x:c>
      <x:c r="AC35" s="38" t="n">
        <x:v>44271</x:v>
      </x:c>
      <x:c r="AD35" s="40"/>
      <x:c r="AE35" s="40"/>
      <x:c r="AF35" s="42" t="n">
        <x:v>32</x:v>
      </x:c>
      <x:c r="AG35" s="44" t="n">
        <x:f>IF(OR(AF35="",M35=""),"",AF35/M35)</x:f>
        <x:v>0.064</x:v>
      </x:c>
      <x:c r="AH35" s="14"/>
    </x:row>
    <x:row r="36">
      <x:c r="A36" s="14" t="str">
        <x:v>T1</x:v>
      </x:c>
      <x:c r="B36" s="16" t="str">
        <x:f>IF(A36="","",IF(OR(M36="",N36="",O36=""),"Needs Weighing",IF(MAX(0,O36-N36)&lt;=0,"Empty",IF(MAX(0,O36-N36)/M36&lt;0.25,"Low","In Stock"))))</x:f>
        <x:v>Needs Weighing</x:v>
      </x:c>
      <x:c r="C36" s="14" t="str">
        <x:v>TPU</x:v>
      </x:c>
      <x:c r="D36" s="14" t="str">
        <x:v>None</x:v>
      </x:c>
      <x:c r="E36" s="14" t="str">
        <x:v>Standard</x:v>
      </x:c>
      <x:c r="F36" s="14" t="str">
        <x:v>Red</x:v>
      </x:c>
      <x:c r="G36" s="14" t="str">
        <x:v>NINJATEK</x:v>
      </x:c>
      <x:c r="H36" s="14" t="str">
        <x:v>95A Shore</x:v>
      </x:c>
      <x:c r="I36" s="14" t="str">
        <x:v>Yes</x:v>
      </x:c>
      <x:c r="J36" s="22" t="n">
        <x:v>1.75</x:v>
      </x:c>
      <x:c r="K36" s="22" t="n">
        <x:v>0.02</x:v>
      </x:c>
      <x:c r="L36" s="22" t="n">
        <x:v>1.21</x:v>
      </x:c>
      <x:c r="M36" s="22" t="n">
        <x:v>500</x:v>
      </x:c>
      <x:c r="N36" s="48"/>
      <x:c r="O36" s="49"/>
      <x:c r="P36" s="59" t="str">
        <x:f>IF(OR(M36="",N36="",O36=""),"",MAX(0,O36-N36))</x:f>
      </x:c>
      <x:c r="Q36" s="28" t="str">
        <x:f>IF(OR(M36="",P36=""),"",MIN(1,MAX(0,P36/M36)))</x:f>
      </x:c>
      <x:c r="R36" s="26" t="str">
        <x:f>IF(OR(M36="",P36=""),"",MAX(0,M36-P36))</x:f>
      </x:c>
      <x:c r="S36" s="30" t="str">
        <x:f>IF(OR(P36="",L36="",J36=""),"",P36/(L36*PI()*(J36/2)^2))</x:f>
      </x:c>
      <x:c r="T36" s="60" t="str">
        <x:f>IF(OR(M36="",N36=""),"",M36+N36)</x:f>
      </x:c>
      <x:c r="U36" s="32" t="n">
        <x:v>100</x:v>
      </x:c>
      <x:c r="V36" s="34" t="n">
        <x:v>240</x:v>
      </x:c>
      <x:c r="W36" s="34" t="n">
        <x:v>40</x:v>
      </x:c>
      <x:c r="X36" s="34" t="n">
        <x:v>0</x:v>
      </x:c>
      <x:c r="Y36" s="22" t="n">
        <x:v>0.75</x:v>
      </x:c>
      <x:c r="Z36" s="22" t="n">
        <x:v>70</x:v>
      </x:c>
      <x:c r="AA36" s="36"/>
      <x:c r="AB36" s="14" t="str">
        <x:v>Amazon</x:v>
      </x:c>
      <x:c r="AC36" s="38" t="n">
        <x:v>44271</x:v>
      </x:c>
      <x:c r="AD36" s="40"/>
      <x:c r="AE36" s="40"/>
      <x:c r="AF36" s="42" t="n">
        <x:v>32</x:v>
      </x:c>
      <x:c r="AG36" s="44" t="n">
        <x:f>IF(OR(AF36="",M36=""),"",AF36/M36)</x:f>
        <x:v>0.064</x:v>
      </x:c>
      <x:c r="AH36" s="14"/>
    </x:row>
    <x:row r="37">
      <x:c r="A37" s="14"/>
      <x:c r="B37" s="16" t="str">
        <x:f>IF(A37="","",IF(OR(M37="",N37="",O37=""),"Needs Weighing",IF(MAX(0,O37-N37)&lt;=0,"Empty",IF(MAX(0,O37-N37)/M37&lt;0.25,"Low","In Stock"))))</x:f>
      </x:c>
      <x:c r="C37" s="14"/>
      <x:c r="D37" s="14"/>
      <x:c r="E37" s="14"/>
      <x:c r="F37" s="14"/>
      <x:c r="G37" s="14"/>
      <x:c r="H37" s="14"/>
      <x:c r="I37" s="14"/>
      <x:c r="J37" s="22"/>
      <x:c r="K37" s="22"/>
      <x:c r="L37" s="22"/>
      <x:c r="M37" s="22"/>
      <x:c r="N37" s="50"/>
      <x:c r="O37" s="51"/>
      <x:c r="P37" s="61" t="str">
        <x:f>IF(OR(M37="",N37="",O37=""),"",MAX(0,O37-N37))</x:f>
      </x:c>
      <x:c r="Q37" s="62" t="str">
        <x:f>IF(OR(M37="",P37=""),"",MIN(1,MAX(0,P37/M37)))</x:f>
      </x:c>
      <x:c r="R37" s="63" t="str">
        <x:f>IF(OR(M37="",P37=""),"",MAX(0,M37-P37))</x:f>
      </x:c>
      <x:c r="S37" s="64" t="str">
        <x:f>IF(OR(P37="",L37="",J37=""),"",P37/(L37*PI()*(J37/2)^2))</x:f>
      </x:c>
      <x:c r="T37" s="65" t="str">
        <x:f>IF(OR(M37="",N37=""),"",M37+N37)</x:f>
      </x:c>
      <x:c r="U37" s="32"/>
      <x:c r="V37" s="34"/>
      <x:c r="W37" s="34"/>
      <x:c r="X37" s="34"/>
      <x:c r="Y37" s="22"/>
      <x:c r="Z37" s="22"/>
      <x:c r="AA37" s="36"/>
      <x:c r="AB37" s="14"/>
      <x:c r="AC37" s="38"/>
      <x:c r="AD37" s="40"/>
      <x:c r="AE37" s="40"/>
      <x:c r="AF37" s="42"/>
      <x:c r="AG37" s="44" t="str">
        <x:f>IF(OR(AF37="",M37=""),"",AF37/M37)</x:f>
      </x:c>
      <x:c r="AH37" s="14"/>
    </x:row>
  </x:sheetData>
  <x:conditionalFormatting sqref="B2:B1000">
    <x:cfRule type="expression" dxfId="0" priority="1">
      <x:formula>$B2="Needs Weighing"</x:formula>
    </x:cfRule>
    <x:cfRule type="expression" dxfId="1" priority="2">
      <x:formula>$B2="In Stock"</x:formula>
    </x:cfRule>
    <x:cfRule type="expression" dxfId="2" priority="3">
      <x:formula>$B2="Low"</x:formula>
    </x:cfRule>
    <x:cfRule type="expression" dxfId="3" priority="4">
      <x:formula>$B2="Empty"</x:formula>
    </x:cfRule>
  </x:conditionalFormatting>
  <x:conditionalFormatting sqref="F2:F1000">
    <x:cfRule type="expression" dxfId="4" priority="6">
      <x:formula>$F2="Black"</x:formula>
    </x:cfRule>
    <x:cfRule type="expression" dxfId="5" priority="7">
      <x:formula>OR($F2="White",$F2="Natural White")</x:formula>
    </x:cfRule>
    <x:cfRule type="expression" dxfId="6" priority="8">
      <x:formula>OR($F2="Gray",$F2="Light Gray",$F2="Dark Gray",$F2="Silver")</x:formula>
    </x:cfRule>
    <x:cfRule type="expression" dxfId="7" priority="9">
      <x:formula>$F2="Red"</x:formula>
    </x:cfRule>
    <x:cfRule type="expression" dxfId="8" priority="10">
      <x:formula>$F2="Orange"</x:formula>
    </x:cfRule>
    <x:cfRule type="expression" dxfId="9" priority="11">
      <x:formula>OR($F2="Yellow",$F2="Gold")</x:formula>
    </x:cfRule>
    <x:cfRule type="expression" dxfId="10" priority="12">
      <x:formula>OR($F2="Green",$F2="Military Green")</x:formula>
    </x:cfRule>
    <x:cfRule type="expression" dxfId="11" priority="13">
      <x:formula>OR($F2="Blue",$F2="Light Blue",$F2="Dark Blue",$F2="Cyan")</x:formula>
    </x:cfRule>
    <x:cfRule type="expression" dxfId="12" priority="14">
      <x:formula>OR($F2="Purple",$F2="Marsala")</x:formula>
    </x:cfRule>
    <x:cfRule type="expression" dxfId="13" priority="15">
      <x:formula>$F2="Pink"</x:formula>
    </x:cfRule>
    <x:cfRule type="expression" dxfId="14" priority="16">
      <x:formula>OR($F2="Brown",$F2="Beige",$F2="Copper",$F2="Bronze")</x:formula>
    </x:cfRule>
    <x:cfRule type="expression" dxfId="15" priority="17">
      <x:formula>OR($F2="Clear",$F2="Natural")</x:formula>
    </x:cfRule>
    <x:cfRule type="expression" dxfId="16" priority="18">
      <x:formula>$F2="Multi-Color"</x:formula>
    </x:cfRule>
  </x:conditionalFormatting>
  <x:conditionalFormatting sqref="Q2:Q1000">
    <x:cfRule type="expression" dxfId="17" priority="19">
      <x:formula>AND($Q2&lt;&gt;"",$Q2&lt;0.10)</x:formula>
    </x:cfRule>
    <x:cfRule type="expression" dxfId="18" priority="20">
      <x:formula>AND($Q2&lt;&gt;"",$Q2&gt;=0.10,$Q2&lt;0.25)</x:formula>
    </x:cfRule>
    <x:cfRule type="expression" dxfId="19" priority="21">
      <x:formula>AND($Q2&lt;&gt;"",$Q2&gt;=0.25,$Q2&lt;0.50)</x:formula>
    </x:cfRule>
    <x:cfRule type="expression" dxfId="20" priority="22">
      <x:formula>AND($Q2&lt;&gt;"",$Q2&gt;=0.50)</x:formula>
    </x:cfRule>
  </x:conditionalFormatting>
  <x:dataValidations count="6">
    <x:dataValidation type="list" sqref="C2:C1000">
      <x:formula1>Lists!$A$2:$A$21</x:formula1>
    </x:dataValidation>
    <x:dataValidation type="list" sqref="D2:D1000">
      <x:formula1>Lists!$B$2:$B$17</x:formula1>
    </x:dataValidation>
    <x:dataValidation type="list" sqref="E2:E1000">
      <x:formula1>Lists!$C$2:$C$20</x:formula1>
    </x:dataValidation>
    <x:dataValidation type="list" sqref="F2:F1000">
      <x:formula1>Lists!$D$2:$D$31</x:formula1>
    </x:dataValidation>
    <x:dataValidation type="list" sqref="G2:G1000">
      <x:formula1>Lists!$E$2:$E$22</x:formula1>
    </x:dataValidation>
    <x:dataValidation type="list" sqref="I2:I1000">
      <x:formula1>Lists!$F$2:$F$3</x:formula1>
    </x:dataValidation>
  </x:dataValidations>
  <x:pageMargins left="0.7" right="0.7" top="0.75" bottom="0.75" header="0.3" footer="0.3"/>
  <x:tableParts count="1">
    <x:tablePart xmlns:r="http://schemas.openxmlformats.org/officeDocument/2006/relationships" r:id="R5940fb217f69454f"/>
  </x:tableParts>
</x:worksheet>
</file>

<file path=xl/worksheets/sheet3.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8" hidden="0" customWidth="1"/>
    <x:col min="5" max="5" width="20" hidden="0" customWidth="1"/>
    <x:col min="6" max="6" width="16" hidden="0" customWidth="1"/>
    <x:col min="7" max="7" width="16" hidden="0" customWidth="1"/>
    <x:col min="9" max="9" width="16" hidden="0" customWidth="1"/>
    <x:col min="10" max="10" width="16" hidden="0" customWidth="1"/>
    <x:col min="11" max="11" width="16" hidden="0" customWidth="1"/>
    <x:col min="12" max="12" width="16" hidden="0" customWidth="1"/>
  </x:cols>
  <x:sheetData>
    <x:row r="1" ht="28" customHeight="1">
      <x:c r="A1" s="6" t="str">
        <x:v>Material Types</x:v>
      </x:c>
      <x:c r="B1" s="6" t="str">
        <x:v>Fillers / Reinforcements</x:v>
      </x:c>
      <x:c r="C1" s="6" t="str">
        <x:v>Finish / Effects</x:v>
      </x:c>
      <x:c r="D1" s="6" t="str">
        <x:v>Colors</x:v>
      </x:c>
      <x:c r="E1" s="6" t="str">
        <x:v>Manufacturers</x:v>
      </x:c>
      <x:c r="F1" s="6" t="str">
        <x:v>Yes / No</x:v>
      </x:c>
      <x:c r="G1" s="6" t="str">
        <x:v>Wishlist Priority</x:v>
      </x:c>
      <x:c r="I1" s="6" t="str">
        <x:v>Dropdown List Maintenance</x:v>
      </x:c>
      <x:c r="J1" s="6"/>
      <x:c r="K1" s="6"/>
      <x:c r="L1" s="6"/>
    </x:row>
    <x:row r="2">
      <x:c r="A2" s="74" t="str">
        <x:v>ABS</x:v>
      </x:c>
      <x:c r="B2" s="74" t="str">
        <x:v>None</x:v>
      </x:c>
      <x:c r="C2" s="74" t="str">
        <x:v>Standard</x:v>
      </x:c>
      <x:c r="D2" s="74" t="str">
        <x:v>Any</x:v>
      </x:c>
      <x:c r="E2" s="74" t="str">
        <x:v>3D Best-Q</x:v>
      </x:c>
      <x:c r="F2" s="74" t="str">
        <x:v>No</x:v>
      </x:c>
      <x:c r="G2" s="74" t="str">
        <x:v>High</x:v>
      </x:c>
      <x:c r="I2" s="76" t="str">
        <x:v>Add new values at the bottom of a list and extend the corresponding validation range on the Inventory sheet when needed. Keep one canonical spelling for each value so filtering and summaries remain consistent.</x:v>
      </x:c>
      <x:c r="J2" s="76"/>
      <x:c r="K2" s="76"/>
      <x:c r="L2" s="76"/>
    </x:row>
    <x:row r="3">
      <x:c r="A3" s="74" t="str">
        <x:v>ASA</x:v>
      </x:c>
      <x:c r="B3" s="74" t="str">
        <x:v>Carbon Fiber</x:v>
      </x:c>
      <x:c r="C3" s="74" t="str">
        <x:v>Matte</x:v>
      </x:c>
      <x:c r="D3" s="74" t="str">
        <x:v>Black</x:v>
      </x:c>
      <x:c r="E3" s="74" t="str">
        <x:v>3D SOLUTECH</x:v>
      </x:c>
      <x:c r="F3" s="74" t="str">
        <x:v>Yes</x:v>
      </x:c>
      <x:c r="G3" s="74" t="str">
        <x:v>Medium</x:v>
      </x:c>
      <x:c r="I3" s="76"/>
      <x:c r="J3" s="76"/>
      <x:c r="K3" s="76"/>
      <x:c r="L3" s="76"/>
    </x:row>
    <x:row r="4">
      <x:c r="A4" s="74" t="str">
        <x:v>HIPS</x:v>
      </x:c>
      <x:c r="B4" s="74" t="str">
        <x:v>Glass Fiber</x:v>
      </x:c>
      <x:c r="C4" s="74" t="str">
        <x:v>Silk</x:v>
      </x:c>
      <x:c r="D4" s="74" t="str">
        <x:v>White</x:v>
      </x:c>
      <x:c r="E4" s="74" t="str">
        <x:v>AMOLEN</x:v>
      </x:c>
      <x:c r="F4" s="74"/>
      <x:c r="G4" s="74" t="str">
        <x:v>Low</x:v>
      </x:c>
      <x:c r="I4" s="76"/>
      <x:c r="J4" s="76"/>
      <x:c r="K4" s="76"/>
      <x:c r="L4" s="76"/>
    </x:row>
    <x:row r="5">
      <x:c r="A5" s="74" t="str">
        <x:v>NYLON</x:v>
      </x:c>
      <x:c r="B5" s="74" t="str">
        <x:v>Wood</x:v>
      </x:c>
      <x:c r="C5" s="74" t="str">
        <x:v>Gloss</x:v>
      </x:c>
      <x:c r="D5" s="74" t="str">
        <x:v>Natural</x:v>
      </x:c>
      <x:c r="E5" s="74" t="str">
        <x:v>ATOMIC</x:v>
      </x:c>
      <x:c r="F5" s="74"/>
      <x:c r="G5" s="74"/>
      <x:c r="I5" s="76"/>
      <x:c r="J5" s="76"/>
      <x:c r="K5" s="76"/>
      <x:c r="L5" s="76"/>
    </x:row>
    <x:row r="6">
      <x:c r="A6" s="74" t="str">
        <x:v>PA6</x:v>
      </x:c>
      <x:c r="B6" s="74" t="str">
        <x:v>Metal</x:v>
      </x:c>
      <x:c r="C6" s="74" t="str">
        <x:v>Satin</x:v>
      </x:c>
      <x:c r="D6" s="74" t="str">
        <x:v>Natural White</x:v>
      </x:c>
      <x:c r="E6" s="74" t="str">
        <x:v>ELEGOO</x:v>
      </x:c>
      <x:c r="F6" s="74"/>
      <x:c r="G6" s="74"/>
    </x:row>
    <x:row r="7">
      <x:c r="A7" s="74" t="str">
        <x:v>PA12</x:v>
      </x:c>
      <x:c r="B7" s="74" t="str">
        <x:v>Mineral / Stone</x:v>
      </x:c>
      <x:c r="C7" s="74" t="str">
        <x:v>Transparent/Clear</x:v>
      </x:c>
      <x:c r="D7" s="74" t="str">
        <x:v>Clear</x:v>
      </x:c>
      <x:c r="E7" s="74" t="str">
        <x:v>ERYONE</x:v>
      </x:c>
      <x:c r="F7" s="74"/>
      <x:c r="G7" s="74"/>
    </x:row>
    <x:row r="8">
      <x:c r="A8" s="74" t="str">
        <x:v>PC</x:v>
      </x:c>
      <x:c r="B8" s="74" t="str">
        <x:v>Ceramic</x:v>
      </x:c>
      <x:c r="C8" s="74" t="str">
        <x:v>Translucent</x:v>
      </x:c>
      <x:c r="D8" s="74" t="str">
        <x:v>Gray</x:v>
      </x:c>
      <x:c r="E8" s="74" t="str">
        <x:v>FIBERLOGY</x:v>
      </x:c>
      <x:c r="F8" s="74"/>
      <x:c r="G8" s="74"/>
    </x:row>
    <x:row r="9">
      <x:c r="A9" s="74" t="str">
        <x:v>PC-ABS</x:v>
      </x:c>
      <x:c r="B9" s="74" t="str">
        <x:v>Kevlar / Aramid</x:v>
      </x:c>
      <x:c r="C9" s="74" t="str">
        <x:v>Opaque</x:v>
      </x:c>
      <x:c r="D9" s="74" t="str">
        <x:v>Light Gray</x:v>
      </x:c>
      <x:c r="E9" s="74" t="str">
        <x:v>ISANMATE</x:v>
      </x:c>
      <x:c r="F9" s="74"/>
      <x:c r="G9" s="74"/>
    </x:row>
    <x:row r="10">
      <x:c r="A10" s="74" t="str">
        <x:v>PCTG</x:v>
      </x:c>
      <x:c r="B10" s="74" t="str">
        <x:v>Graphene</x:v>
      </x:c>
      <x:c r="C10" s="74" t="str">
        <x:v>Marble</x:v>
      </x:c>
      <x:c r="D10" s="74" t="str">
        <x:v>Dark Gray</x:v>
      </x:c>
      <x:c r="E10" s="74" t="str">
        <x:v>NINJATEK</x:v>
      </x:c>
      <x:c r="F10" s="74"/>
      <x:c r="G10" s="74"/>
    </x:row>
    <x:row r="11">
      <x:c r="A11" s="74" t="str">
        <x:v>PCTPE</x:v>
      </x:c>
      <x:c r="B11" s="74" t="str">
        <x:v>Glow Additive</x:v>
      </x:c>
      <x:c r="C11" s="74" t="str">
        <x:v>Galaxy / Sparkle</x:v>
      </x:c>
      <x:c r="D11" s="74" t="str">
        <x:v>Silver</x:v>
      </x:c>
      <x:c r="E11" s="74" t="str">
        <x:v>NOVAMAKER</x:v>
      </x:c>
      <x:c r="F11" s="74"/>
      <x:c r="G11" s="74"/>
    </x:row>
    <x:row r="12">
      <x:c r="A12" s="74" t="str">
        <x:v>PET</x:v>
      </x:c>
      <x:c r="B12" s="74" t="str">
        <x:v>Conductive</x:v>
      </x:c>
      <x:c r="C12" s="74" t="str">
        <x:v>Glitter</x:v>
      </x:c>
      <x:c r="D12" s="74" t="str">
        <x:v>Red</x:v>
      </x:c>
      <x:c r="E12" s="74" t="str">
        <x:v>PARAMOUNT</x:v>
      </x:c>
      <x:c r="F12" s="74"/>
      <x:c r="G12" s="74"/>
    </x:row>
    <x:row r="13">
      <x:c r="A13" s="74" t="str">
        <x:v>PETG</x:v>
      </x:c>
      <x:c r="B13" s="74" t="str">
        <x:v>Magnetic</x:v>
      </x:c>
      <x:c r="C13" s="74" t="str">
        <x:v>Metallic</x:v>
      </x:c>
      <x:c r="D13" s="74" t="str">
        <x:v>Orange</x:v>
      </x:c>
      <x:c r="E13" s="74" t="str">
        <x:v>Polymaker</x:v>
      </x:c>
      <x:c r="F13" s="74"/>
      <x:c r="G13" s="74"/>
    </x:row>
    <x:row r="14">
      <x:c r="A14" s="74" t="str">
        <x:v>PLA</x:v>
      </x:c>
      <x:c r="B14" s="74" t="str">
        <x:v>Flame Retardant</x:v>
      </x:c>
      <x:c r="C14" s="74" t="str">
        <x:v>Rainbow</x:v>
      </x:c>
      <x:c r="D14" s="74" t="str">
        <x:v>Yellow</x:v>
      </x:c>
      <x:c r="E14" s="74" t="str">
        <x:v>SUNLU</x:v>
      </x:c>
      <x:c r="F14" s="74"/>
      <x:c r="G14" s="74"/>
    </x:row>
    <x:row r="15">
      <x:c r="A15" s="74" t="str">
        <x:v>PLA+</x:v>
      </x:c>
      <x:c r="B15" s="74" t="str">
        <x:v>Lightweight / Foaming</x:v>
      </x:c>
      <x:c r="C15" s="74" t="str">
        <x:v>Color Change</x:v>
      </x:c>
      <x:c r="D15" s="74" t="str">
        <x:v>Green</x:v>
      </x:c>
      <x:c r="E15" s="74" t="str">
        <x:v>SUPPLY3D</x:v>
      </x:c>
      <x:c r="F15" s="74"/>
      <x:c r="G15" s="74"/>
    </x:row>
    <x:row r="16">
      <x:c r="A16" s="74" t="str">
        <x:v>PP</x:v>
      </x:c>
      <x:c r="B16" s="74" t="str">
        <x:v>Recycled</x:v>
      </x:c>
      <x:c r="C16" s="74" t="str">
        <x:v>Glow</x:v>
      </x:c>
      <x:c r="D16" s="74" t="str">
        <x:v>Military Green</x:v>
      </x:c>
      <x:c r="E16" s="74" t="str">
        <x:v>TAULMAN</x:v>
      </x:c>
      <x:c r="F16" s="74"/>
      <x:c r="G16" s="74"/>
    </x:row>
    <x:row r="17">
      <x:c r="A17" s="74" t="str">
        <x:v>PVA</x:v>
      </x:c>
      <x:c r="B17" s="74" t="str">
        <x:v>Other</x:v>
      </x:c>
      <x:c r="C17" s="74" t="str">
        <x:v>Dual Color</x:v>
      </x:c>
      <x:c r="D17" s="74" t="str">
        <x:v>Blue</x:v>
      </x:c>
      <x:c r="E17" s="74" t="str">
        <x:v>VOXELAB</x:v>
      </x:c>
      <x:c r="F17" s="74"/>
      <x:c r="G17" s="74"/>
    </x:row>
    <x:row r="18">
      <x:c r="A18" s="74" t="str">
        <x:v>SPLA</x:v>
      </x:c>
      <x:c r="B18" s="74"/>
      <x:c r="C18" s="74" t="str">
        <x:v>Tri Color</x:v>
      </x:c>
      <x:c r="D18" s="74" t="str">
        <x:v>Light Blue</x:v>
      </x:c>
      <x:c r="E18" s="74" t="str">
        <x:v>Bambu Lab</x:v>
      </x:c>
      <x:c r="F18" s="74"/>
      <x:c r="G18" s="74"/>
    </x:row>
    <x:row r="19">
      <x:c r="A19" s="74" t="str">
        <x:v>TPU</x:v>
      </x:c>
      <x:c r="B19" s="74"/>
      <x:c r="C19" s="74" t="str">
        <x:v>Fluorescent</x:v>
      </x:c>
      <x:c r="D19" s="74" t="str">
        <x:v>Dark Blue</x:v>
      </x:c>
      <x:c r="E19" s="74" t="str">
        <x:v>eSUN</x:v>
      </x:c>
      <x:c r="F19" s="74"/>
      <x:c r="G19" s="74"/>
    </x:row>
    <x:row r="20">
      <x:c r="A20" s="74" t="str">
        <x:v>TPE</x:v>
      </x:c>
      <x:c r="B20" s="74"/>
      <x:c r="C20" s="74" t="str">
        <x:v>Other</x:v>
      </x:c>
      <x:c r="D20" s="74" t="str">
        <x:v>Cyan</x:v>
      </x:c>
      <x:c r="E20" s="74" t="str">
        <x:v>Hatchbox</x:v>
      </x:c>
      <x:c r="F20" s="74"/>
      <x:c r="G20" s="74"/>
    </x:row>
    <x:row r="21">
      <x:c r="A21" s="74" t="str">
        <x:v>Other</x:v>
      </x:c>
      <x:c r="B21" s="74"/>
      <x:c r="C21" s="74"/>
      <x:c r="D21" s="74" t="str">
        <x:v>Teal</x:v>
      </x:c>
      <x:c r="E21" s="74" t="str">
        <x:v>Overture</x:v>
      </x:c>
      <x:c r="F21" s="74"/>
      <x:c r="G21" s="74"/>
    </x:row>
    <x:row r="22">
      <x:c r="A22" s="74"/>
      <x:c r="B22" s="74"/>
      <x:c r="C22" s="74"/>
      <x:c r="D22" s="74" t="str">
        <x:v>Purple</x:v>
      </x:c>
      <x:c r="E22" s="74" t="str">
        <x:v>Prusament</x:v>
      </x:c>
      <x:c r="F22" s="74"/>
      <x:c r="G22" s="74"/>
    </x:row>
    <x:row r="23">
      <x:c r="A23" s="74"/>
      <x:c r="B23" s="74"/>
      <x:c r="C23" s="74"/>
      <x:c r="D23" s="74" t="str">
        <x:v>Pink</x:v>
      </x:c>
      <x:c r="E23" s="74"/>
      <x:c r="F23" s="74"/>
      <x:c r="G23" s="74"/>
    </x:row>
    <x:row r="24">
      <x:c r="A24" s="74"/>
      <x:c r="B24" s="74"/>
      <x:c r="C24" s="74"/>
      <x:c r="D24" s="74" t="str">
        <x:v>Brown</x:v>
      </x:c>
      <x:c r="E24" s="74"/>
      <x:c r="F24" s="74"/>
      <x:c r="G24" s="74"/>
    </x:row>
    <x:row r="25">
      <x:c r="A25" s="74"/>
      <x:c r="B25" s="74"/>
      <x:c r="C25" s="74"/>
      <x:c r="D25" s="74" t="str">
        <x:v>Beige</x:v>
      </x:c>
      <x:c r="E25" s="74"/>
      <x:c r="F25" s="74"/>
      <x:c r="G25" s="74"/>
    </x:row>
    <x:row r="26">
      <x:c r="A26" s="74"/>
      <x:c r="B26" s="74"/>
      <x:c r="C26" s="74"/>
      <x:c r="D26" s="74" t="str">
        <x:v>Marsala</x:v>
      </x:c>
      <x:c r="E26" s="74"/>
      <x:c r="F26" s="74"/>
      <x:c r="G26" s="74"/>
    </x:row>
    <x:row r="27">
      <x:c r="A27" s="74"/>
      <x:c r="B27" s="74"/>
      <x:c r="C27" s="74"/>
      <x:c r="D27" s="74" t="str">
        <x:v>Copper</x:v>
      </x:c>
      <x:c r="E27" s="74"/>
      <x:c r="F27" s="74"/>
      <x:c r="G27" s="74"/>
    </x:row>
    <x:row r="28">
      <x:c r="A28" s="74"/>
      <x:c r="B28" s="74"/>
      <x:c r="C28" s="74"/>
      <x:c r="D28" s="74" t="str">
        <x:v>Gold</x:v>
      </x:c>
      <x:c r="E28" s="74"/>
      <x:c r="F28" s="74"/>
      <x:c r="G28" s="74"/>
    </x:row>
    <x:row r="29">
      <x:c r="A29" s="74"/>
      <x:c r="B29" s="74"/>
      <x:c r="C29" s="74"/>
      <x:c r="D29" s="74" t="str">
        <x:v>Bronze</x:v>
      </x:c>
      <x:c r="E29" s="74"/>
      <x:c r="F29" s="74"/>
      <x:c r="G29" s="74"/>
    </x:row>
    <x:row r="30">
      <x:c r="A30" s="74"/>
      <x:c r="B30" s="74"/>
      <x:c r="C30" s="74"/>
      <x:c r="D30" s="74" t="str">
        <x:v>Multi-Color</x:v>
      </x:c>
      <x:c r="E30" s="74"/>
      <x:c r="F30" s="74"/>
      <x:c r="G30" s="74"/>
    </x:row>
    <x:row r="31">
      <x:c r="A31" s="74"/>
      <x:c r="B31" s="74"/>
      <x:c r="C31" s="74"/>
      <x:c r="D31" s="74" t="str">
        <x:v>Other</x:v>
      </x:c>
      <x:c r="E31" s="74"/>
      <x:c r="F31" s="74"/>
      <x:c r="G31" s="74"/>
    </x:row>
  </x:sheetData>
  <x:mergeCells>
    <x:mergeCell ref="I1:L1"/>
    <x:mergeCell ref="I2:L5"/>
  </x:mergeCells>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4" hidden="0" customWidth="1"/>
    <x:col min="5" max="5" width="14" hidden="0" customWidth="1"/>
    <x:col min="6" max="6" width="34" hidden="0" customWidth="1"/>
  </x:cols>
  <x:sheetData>
    <x:row r="1" ht="28" customHeight="1">
      <x:c r="A1" s="6" t="str">
        <x:v>Material Type</x:v>
      </x:c>
      <x:c r="B1" s="6" t="str">
        <x:v>Filler / Reinforcement</x:v>
      </x:c>
      <x:c r="C1" s="6" t="str">
        <x:v>Finish / Effect</x:v>
      </x:c>
      <x:c r="D1" s="6" t="str">
        <x:v>Color</x:v>
      </x:c>
      <x:c r="E1" s="6" t="str">
        <x:v>Priority</x:v>
      </x:c>
      <x:c r="F1" s="6" t="str">
        <x:v>Notes</x:v>
      </x:c>
    </x:row>
    <x:row r="2">
      <x:c r="A2" t="str">
        <x:v>PC</x:v>
      </x:c>
      <x:c r="B2" t="str">
        <x:v>None</x:v>
      </x:c>
      <x:c r="C2" t="str">
        <x:v>Standard</x:v>
      </x:c>
      <x:c r="D2" t="str">
        <x:v>Any</x:v>
      </x:c>
      <x:c r="E2" t="str">
        <x:v>Medium</x:v>
      </x:c>
      <x:c r="F2" t="str">
        <x:v>Polycarbonate</x:v>
      </x:c>
    </x:row>
    <x:row r="3">
      <x:c r="A3" t="str">
        <x:v>PC</x:v>
      </x:c>
      <x:c r="B3" t="str">
        <x:v>Carbon Fiber</x:v>
      </x:c>
      <x:c r="C3" t="str">
        <x:v>Standard</x:v>
      </x:c>
      <x:c r="D3" t="str">
        <x:v>Any</x:v>
      </x:c>
      <x:c r="E3" t="str">
        <x:v>High</x:v>
      </x:c>
      <x:c r="F3" t="str">
        <x:v>PC carbon fiber</x:v>
      </x:c>
    </x:row>
    <x:row r="4">
      <x:c r="A4" t="str">
        <x:v>PC</x:v>
      </x:c>
      <x:c r="B4" t="str">
        <x:v>Glass Fiber</x:v>
      </x:c>
      <x:c r="C4" t="str">
        <x:v>Standard</x:v>
      </x:c>
      <x:c r="D4" t="str">
        <x:v>Any</x:v>
      </x:c>
      <x:c r="E4" t="str">
        <x:v>High</x:v>
      </x:c>
      <x:c r="F4" t="str">
        <x:v>PC fiberglass</x:v>
      </x:c>
    </x:row>
    <x:row r="5">
      <x:c r="A5" t="str">
        <x:v>NYLON</x:v>
      </x:c>
      <x:c r="B5" t="str">
        <x:v>Glass Fiber</x:v>
      </x:c>
      <x:c r="C5" t="str">
        <x:v>Standard</x:v>
      </x:c>
      <x:c r="D5" t="str">
        <x:v>Any</x:v>
      </x:c>
      <x:c r="E5" t="str">
        <x:v>High</x:v>
      </x:c>
      <x:c r="F5" t="str">
        <x:v>Nylon fiberglass</x:v>
      </x:c>
    </x:row>
  </x:sheetData>
  <x:dataValidations count="5">
    <x:dataValidation type="list" sqref="A2:A100">
      <x:formula1>Lists!$A$2:$A$21</x:formula1>
    </x:dataValidation>
    <x:dataValidation type="list" sqref="B2:B100">
      <x:formula1>Lists!$B$2:$B$17</x:formula1>
    </x:dataValidation>
    <x:dataValidation type="list" sqref="C2:C100">
      <x:formula1>Lists!$C$2:$C$20</x:formula1>
    </x:dataValidation>
    <x:dataValidation type="list" sqref="D2:D100">
      <x:formula1>Lists!$D$2:$D$31</x:formula1>
    </x:dataValidation>
    <x:dataValidation type="list" sqref="E2:E100">
      <x:formula1>Lists!$G$2:$G$4</x:formula1>
    </x:dataValidation>
  </x:dataValidations>
  <x:pageMargins left="0.7" right="0.7" top="0.75" bottom="0.75" header="0.3" footer="0.3"/>
  <x:tableParts count="1">
    <x:tablePart xmlns:r="http://schemas.openxmlformats.org/officeDocument/2006/relationships" r:id="Re7be6ec9cef044b1"/>
  </x:tableParts>
</x:worksheet>
</file>

<file path=xl/worksheets/sheet5.xml><?xml version="1.0" encoding="utf-8"?>
<x:worksheet xmlns:x="http://schemas.openxmlformats.org/spreadsheetml/2006/main">
  <x:sheetFormatPr defaultRowHeight="15"/>
  <x:cols>
    <x:col min="1" max="1" width="16" hidden="0" customWidth="1"/>
    <x:col min="2" max="2" width="56"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s>
  <x:sheetData>
    <x:row r="1">
      <x:c r="A1" s="74"/>
      <x:c r="B1" s="74"/>
      <x:c r="C1" s="74"/>
      <x:c r="D1" s="74"/>
      <x:c r="E1" s="74"/>
      <x:c r="F1" s="74"/>
      <x:c r="G1" s="74"/>
      <x:c r="H1" s="74"/>
      <x:c r="I1" s="74"/>
      <x:c r="J1" s="74"/>
      <x:c r="K1" s="74"/>
      <x:c r="L1" s="74"/>
      <x:c r="M1" s="74"/>
      <x:c r="N1" s="74"/>
      <x:c r="O1" s="74"/>
      <x:c r="P1" s="74"/>
      <x:c r="Q1" s="74"/>
      <x:c r="R1" s="74"/>
      <x:c r="S1" s="74"/>
      <x:c r="T1" s="74"/>
      <x:c r="U1" s="74"/>
      <x:c r="V1" s="74"/>
    </x:row>
    <x:row r="2">
      <x:c r="A2" s="80" t="str">
        <x:v>Shore Hardness</x:v>
      </x:c>
      <x:c r="B2" s="80"/>
      <x:c r="C2" s="80"/>
      <x:c r="D2" s="80"/>
      <x:c r="E2" s="80"/>
      <x:c r="F2" s="80"/>
      <x:c r="G2" s="80"/>
      <x:c r="H2" s="80"/>
      <x:c r="I2" s="80"/>
      <x:c r="J2" s="80"/>
      <x:c r="K2" s="80"/>
      <x:c r="L2" s="80"/>
      <x:c r="M2" s="80"/>
      <x:c r="N2" s="80"/>
      <x:c r="O2" s="80"/>
      <x:c r="P2" s="80"/>
      <x:c r="Q2" s="80"/>
      <x:c r="R2" s="80"/>
      <x:c r="S2" s="80"/>
      <x:c r="T2" s="80"/>
      <x:c r="U2" s="80"/>
      <x:c r="V2" s="80"/>
    </x:row>
    <x:row r="3">
      <x:c r="A3" s="74" t="str">
        <x:v>Type</x:v>
      </x:c>
      <x:c r="B3" s="74" t="str">
        <x:v>Description</x:v>
      </x:c>
      <x:c r="C3" s="74" t="str">
        <x:v>Extra Soft/Soft (Gum)</x:v>
      </x:c>
      <x:c r="D3" s="74"/>
      <x:c r="E3" s="74"/>
      <x:c r="F3" s="74"/>
      <x:c r="G3" s="74" t="str">
        <x:v>Medium Soft (Eraser)</x:v>
      </x:c>
      <x:c r="H3" s="74"/>
      <x:c r="I3" s="74"/>
      <x:c r="J3" s="74" t="str">
        <x:v>Medium Hard (Winshield Wiper Blade)</x:v>
      </x:c>
      <x:c r="K3" s="74"/>
      <x:c r="L3" s="74"/>
      <x:c r="M3" s="74"/>
      <x:c r="N3" s="74"/>
      <x:c r="O3" s="74"/>
      <x:c r="P3" s="74"/>
      <x:c r="Q3" s="74" t="str">
        <x:v>Hard (Skate Wheel)</x:v>
      </x:c>
      <x:c r="R3" s="74"/>
      <x:c r="S3" s="74"/>
      <x:c r="T3" s="74" t="str">
        <x:v>Extra Hard (Bowling Ball)</x:v>
      </x:c>
      <x:c r="U3" s="74"/>
      <x:c r="V3" s="74"/>
    </x:row>
    <x:row r="4">
      <x:c r="A4" s="74" t="str">
        <x:v>Shore A</x:v>
      </x:c>
      <x:c r="B4" s="74" t="str">
        <x:v>Rubber, Soft Plastic, Polyurethane</x:v>
      </x:c>
      <x:c r="C4" s="74"/>
      <x:c r="D4" s="74" t="n">
        <x:v>10</x:v>
      </x:c>
      <x:c r="E4" s="74" t="n">
        <x:v>15</x:v>
      </x:c>
      <x:c r="F4" s="74" t="n">
        <x:v>20</x:v>
      </x:c>
      <x:c r="G4" s="74" t="n">
        <x:v>25</x:v>
      </x:c>
      <x:c r="H4" s="74" t="n">
        <x:v>30</x:v>
      </x:c>
      <x:c r="I4" s="74" t="n">
        <x:v>35</x:v>
      </x:c>
      <x:c r="J4" s="74" t="n">
        <x:v>40</x:v>
      </x:c>
      <x:c r="K4" s="74" t="n">
        <x:v>45</x:v>
      </x:c>
      <x:c r="L4" s="74" t="n">
        <x:v>50</x:v>
      </x:c>
      <x:c r="M4" s="74" t="n">
        <x:v>55</x:v>
      </x:c>
      <x:c r="N4" s="74" t="n">
        <x:v>60</x:v>
      </x:c>
      <x:c r="O4" s="74" t="n">
        <x:v>65</x:v>
      </x:c>
      <x:c r="P4" s="74" t="n">
        <x:v>70</x:v>
      </x:c>
      <x:c r="Q4" s="74" t="n">
        <x:v>75</x:v>
      </x:c>
      <x:c r="R4" s="74" t="n">
        <x:v>80</x:v>
      </x:c>
      <x:c r="S4" s="74" t="n">
        <x:v>85</x:v>
      </x:c>
      <x:c r="T4" s="74" t="n">
        <x:v>90</x:v>
      </x:c>
      <x:c r="U4" s="74" t="n">
        <x:v>95</x:v>
      </x:c>
      <x:c r="V4" s="74" t="n">
        <x:v>100</x:v>
      </x:c>
    </x:row>
    <x:row r="5">
      <x:c r="A5" s="74" t="str">
        <x:v>Shore B**</x:v>
      </x:c>
      <x:c r="B5" s="74" t="str">
        <x:v>Rigid Rubber </x:v>
      </x:c>
      <x:c r="C5" s="74"/>
      <x:c r="D5" s="74"/>
      <x:c r="E5" s="74"/>
      <x:c r="F5" s="74" t="n">
        <x:v>6</x:v>
      </x:c>
      <x:c r="G5" s="74" t="n">
        <x:v>12</x:v>
      </x:c>
      <x:c r="H5" s="74" t="n">
        <x:v>17</x:v>
      </x:c>
      <x:c r="I5" s="74" t="n">
        <x:v>22</x:v>
      </x:c>
      <x:c r="J5" s="74" t="n">
        <x:v>27</x:v>
      </x:c>
      <x:c r="K5" s="74" t="n">
        <x:v>32</x:v>
      </x:c>
      <x:c r="L5" s="74" t="n">
        <x:v>37</x:v>
      </x:c>
      <x:c r="M5" s="74" t="n">
        <x:v>42</x:v>
      </x:c>
      <x:c r="N5" s="74" t="n">
        <x:v>47</x:v>
      </x:c>
      <x:c r="O5" s="74" t="n">
        <x:v>51</x:v>
      </x:c>
      <x:c r="P5" s="74" t="n">
        <x:v>56</x:v>
      </x:c>
      <x:c r="Q5" s="74" t="n">
        <x:v>62</x:v>
      </x:c>
      <x:c r="R5" s="74" t="n">
        <x:v>66</x:v>
      </x:c>
      <x:c r="S5" s="74" t="n">
        <x:v>71</x:v>
      </x:c>
      <x:c r="T5" s="74" t="n">
        <x:v>76</x:v>
      </x:c>
      <x:c r="U5" s="74" t="n">
        <x:v>81</x:v>
      </x:c>
      <x:c r="V5" s="74" t="n">
        <x:v>85</x:v>
      </x:c>
    </x:row>
    <x:row r="6">
      <x:c r="A6" s="74" t="str">
        <x:v>Shore C**</x:v>
      </x:c>
      <x:c r="B6" s="74" t="str">
        <x:v>Rubber &amp; Plastic</x:v>
      </x:c>
      <x:c r="C6" s="74"/>
      <x:c r="D6" s="74"/>
      <x:c r="E6" s="74"/>
      <x:c r="F6" s="74"/>
      <x:c r="G6" s="74"/>
      <x:c r="H6" s="74" t="n">
        <x:v>9</x:v>
      </x:c>
      <x:c r="I6" s="74" t="n">
        <x:v>12</x:v>
      </x:c>
      <x:c r="J6" s="74" t="n">
        <x:v>14</x:v>
      </x:c>
      <x:c r="K6" s="74" t="n">
        <x:v>17</x:v>
      </x:c>
      <x:c r="L6" s="74" t="n">
        <x:v>20</x:v>
      </x:c>
      <x:c r="M6" s="74" t="n">
        <x:v>24</x:v>
      </x:c>
      <x:c r="N6" s="74" t="n">
        <x:v>28</x:v>
      </x:c>
      <x:c r="O6" s="74" t="n">
        <x:v>32</x:v>
      </x:c>
      <x:c r="P6" s="74" t="n">
        <x:v>37</x:v>
      </x:c>
      <x:c r="Q6" s="74" t="n">
        <x:v>42</x:v>
      </x:c>
      <x:c r="R6" s="74" t="n">
        <x:v>47</x:v>
      </x:c>
      <x:c r="S6" s="74" t="n">
        <x:v>52</x:v>
      </x:c>
      <x:c r="T6" s="74" t="n">
        <x:v>59</x:v>
      </x:c>
      <x:c r="U6" s="74" t="n">
        <x:v>70</x:v>
      </x:c>
      <x:c r="V6" s="74" t="n">
        <x:v>77</x:v>
      </x:c>
    </x:row>
    <x:row r="7">
      <x:c r="A7" s="74" t="str">
        <x:v>Shore D</x:v>
      </x:c>
      <x:c r="B7" s="74" t="str">
        <x:v>Hard Rubber &amp; Plastic</x:v>
      </x:c>
      <x:c r="C7" s="74"/>
      <x:c r="D7" s="74"/>
      <x:c r="E7" s="74"/>
      <x:c r="F7" s="74"/>
      <x:c r="G7" s="74"/>
      <x:c r="H7" s="74" t="n">
        <x:v>6</x:v>
      </x:c>
      <x:c r="I7" s="74" t="n">
        <x:v>7</x:v>
      </x:c>
      <x:c r="J7" s="74" t="n">
        <x:v>8</x:v>
      </x:c>
      <x:c r="K7" s="74" t="n">
        <x:v>10</x:v>
      </x:c>
      <x:c r="L7" s="74" t="n">
        <x:v>12</x:v>
      </x:c>
      <x:c r="M7" s="74" t="n">
        <x:v>14</x:v>
      </x:c>
      <x:c r="N7" s="74" t="n">
        <x:v>16</x:v>
      </x:c>
      <x:c r="O7" s="74" t="n">
        <x:v>19</x:v>
      </x:c>
      <x:c r="P7" s="74" t="n">
        <x:v>22</x:v>
      </x:c>
      <x:c r="Q7" s="74" t="n">
        <x:v>25</x:v>
      </x:c>
      <x:c r="R7" s="74" t="n">
        <x:v>29</x:v>
      </x:c>
      <x:c r="S7" s="74" t="n">
        <x:v>33</x:v>
      </x:c>
      <x:c r="T7" s="74" t="n">
        <x:v>39</x:v>
      </x:c>
      <x:c r="U7" s="74" t="n">
        <x:v>46</x:v>
      </x:c>
      <x:c r="V7" s="74" t="n">
        <x:v>58</x:v>
      </x:c>
    </x:row>
    <x:row r="8">
      <x:c r="A8" s="74" t="str">
        <x:v>Shore O**</x:v>
      </x:c>
      <x:c r="B8" s="74" t="str">
        <x:v>Soft Rubber</x:v>
      </x:c>
      <x:c r="C8" s="74" t="n">
        <x:v>8</x:v>
      </x:c>
      <x:c r="D8" s="74" t="n">
        <x:v>14</x:v>
      </x:c>
      <x:c r="E8" s="74" t="n">
        <x:v>21</x:v>
      </x:c>
      <x:c r="F8" s="74" t="n">
        <x:v>28</x:v>
      </x:c>
      <x:c r="G8" s="74" t="n">
        <x:v>35</x:v>
      </x:c>
      <x:c r="H8" s="74" t="n">
        <x:v>42</x:v>
      </x:c>
      <x:c r="I8" s="74" t="n">
        <x:v>48</x:v>
      </x:c>
      <x:c r="J8" s="74" t="n">
        <x:v>53</x:v>
      </x:c>
      <x:c r="K8" s="74" t="n">
        <x:v>57</x:v>
      </x:c>
      <x:c r="L8" s="74" t="n">
        <x:v>61</x:v>
      </x:c>
      <x:c r="M8" s="74" t="n">
        <x:v>65</x:v>
      </x:c>
      <x:c r="N8" s="74" t="n">
        <x:v>69</x:v>
      </x:c>
      <x:c r="O8" s="74" t="n">
        <x:v>72</x:v>
      </x:c>
      <x:c r="P8" s="74" t="n">
        <x:v>75</x:v>
      </x:c>
      <x:c r="Q8" s="74" t="n">
        <x:v>79</x:v>
      </x:c>
      <x:c r="R8" s="74" t="n">
        <x:v>84</x:v>
      </x:c>
      <x:c r="S8" s="74"/>
      <x:c r="T8" s="74"/>
      <x:c r="U8" s="74"/>
      <x:c r="V8" s="74"/>
    </x:row>
    <x:row r="9">
      <x:c r="A9" s="74"/>
      <x:c r="B9" s="74"/>
      <x:c r="C9" s="74"/>
      <x:c r="D9" s="74"/>
      <x:c r="E9" s="74"/>
      <x:c r="F9" s="74"/>
      <x:c r="G9" s="74"/>
      <x:c r="H9" s="74"/>
      <x:c r="I9" s="74"/>
      <x:c r="J9" s="74"/>
      <x:c r="K9" s="74"/>
      <x:c r="L9" s="74"/>
      <x:c r="M9" s="74"/>
      <x:c r="N9" s="74"/>
      <x:c r="O9" s="74"/>
      <x:c r="P9" s="74"/>
      <x:c r="Q9" s="74"/>
      <x:c r="R9" s="74"/>
      <x:c r="S9" s="74"/>
      <x:c r="T9" s="74"/>
      <x:c r="U9" s="74"/>
      <x:c r="V9" s="74"/>
    </x:row>
    <x:row r="10">
      <x:c r="A10" s="74" t="str">
        <x:v>Type</x:v>
      </x:c>
      <x:c r="B10" s="74" t="str">
        <x:v>Description</x:v>
      </x:c>
      <x:c r="C10" s="74" t="str">
        <x:v>Soft (Bread)</x:v>
      </x:c>
      <x:c r="D10" s="74"/>
      <x:c r="E10" s="74"/>
      <x:c r="F10" s="74"/>
      <x:c r="G10" s="74" t="str">
        <x:v>Medium Soft (Cusion)</x:v>
      </x:c>
      <x:c r="H10" s="74"/>
      <x:c r="I10" s="74"/>
      <x:c r="J10" s="74" t="str">
        <x:v>Medium Firm (Mouse Pad)</x:v>
      </x:c>
      <x:c r="K10" s="74"/>
      <x:c r="L10" s="74"/>
      <x:c r="M10" s="74"/>
      <x:c r="N10" s="74"/>
      <x:c r="O10" s="74"/>
      <x:c r="P10" s="74"/>
      <x:c r="Q10" s="74" t="str">
        <x:v>Firm (Tennis Ball)</x:v>
      </x:c>
      <x:c r="R10" s="74"/>
      <x:c r="S10" s="74"/>
      <x:c r="T10" s="74"/>
      <x:c r="U10" s="74"/>
      <x:c r="V10" s="74"/>
    </x:row>
    <x:row r="11">
      <x:c r="A11" s="74" t="str">
        <x:v>Shore OO</x:v>
      </x:c>
      <x:c r="B11" s="74" t="str">
        <x:v>Sponge</x:v>
      </x:c>
      <x:c r="C11" s="74" t="n">
        <x:v>45</x:v>
      </x:c>
      <x:c r="D11" s="74" t="n">
        <x:v>55</x:v>
      </x:c>
      <x:c r="E11" s="74" t="n">
        <x:v>62</x:v>
      </x:c>
      <x:c r="F11" s="74" t="n">
        <x:v>70</x:v>
      </x:c>
      <x:c r="G11" s="74" t="n">
        <x:v>76</x:v>
      </x:c>
      <x:c r="H11" s="74" t="n">
        <x:v>80</x:v>
      </x:c>
      <x:c r="I11" s="74" t="n">
        <x:v>83</x:v>
      </x:c>
      <x:c r="J11" s="74" t="n">
        <x:v>86</x:v>
      </x:c>
      <x:c r="K11" s="74" t="n">
        <x:v>88</x:v>
      </x:c>
      <x:c r="L11" s="74" t="n">
        <x:v>90</x:v>
      </x:c>
      <x:c r="M11" s="74" t="n">
        <x:v>91</x:v>
      </x:c>
      <x:c r="N11" s="74" t="n">
        <x:v>93</x:v>
      </x:c>
      <x:c r="O11" s="74" t="n">
        <x:v>94</x:v>
      </x:c>
      <x:c r="P11" s="74" t="n">
        <x:v>95</x:v>
      </x:c>
      <x:c r="Q11" s="74" t="n">
        <x:v>97</x:v>
      </x:c>
      <x:c r="R11" s="74" t="n">
        <x:v>98</x:v>
      </x:c>
      <x:c r="S11" s="74"/>
      <x:c r="T11" s="74"/>
      <x:c r="U11" s="74"/>
      <x:c r="V11" s="74"/>
    </x:row>
    <x:row r="12">
      <x:c r="A12" s="74"/>
      <x:c r="B12" s="74"/>
      <x:c r="C12" s="74"/>
      <x:c r="D12" s="74"/>
      <x:c r="E12" s="74"/>
      <x:c r="F12" s="74"/>
      <x:c r="G12" s="74"/>
      <x:c r="H12" s="74"/>
      <x:c r="I12" s="74"/>
      <x:c r="J12" s="74"/>
      <x:c r="K12" s="74"/>
      <x:c r="L12" s="74"/>
      <x:c r="M12" s="74"/>
      <x:c r="N12" s="74"/>
      <x:c r="O12" s="74"/>
      <x:c r="P12" s="74"/>
      <x:c r="Q12" s="74"/>
      <x:c r="R12" s="74"/>
      <x:c r="S12" s="74"/>
      <x:c r="T12" s="74"/>
      <x:c r="U12" s="74"/>
      <x:c r="V12" s="74"/>
    </x:row>
    <x:row r="13">
      <x:c r="A13" s="74" t="str">
        <x:v>** Not Commonly Used</x:v>
      </x:c>
      <x:c r="B13" s="74"/>
      <x:c r="C13" s="74"/>
      <x:c r="D13" s="74"/>
      <x:c r="E13" s="74"/>
      <x:c r="F13" s="74"/>
      <x:c r="G13" s="74"/>
      <x:c r="H13" s="74"/>
      <x:c r="I13" s="74"/>
      <x:c r="J13" s="74"/>
      <x:c r="K13" s="74"/>
      <x:c r="L13" s="74"/>
      <x:c r="M13" s="74"/>
      <x:c r="N13" s="74"/>
      <x:c r="O13" s="74"/>
      <x:c r="P13" s="74"/>
      <x:c r="Q13" s="74"/>
      <x:c r="R13" s="74"/>
      <x:c r="S13" s="74"/>
      <x:c r="T13" s="74"/>
      <x:c r="U13" s="74"/>
      <x:c r="V13" s="74"/>
    </x:row>
    <x:row r="14">
      <x:c r="A14" s="74"/>
      <x:c r="B14" s="74"/>
      <x:c r="C14" s="74"/>
      <x:c r="D14" s="74"/>
      <x:c r="E14" s="74"/>
      <x:c r="F14" s="74"/>
      <x:c r="G14" s="74"/>
      <x:c r="H14" s="74"/>
      <x:c r="I14" s="74"/>
      <x:c r="J14" s="74"/>
      <x:c r="K14" s="74"/>
      <x:c r="L14" s="74"/>
      <x:c r="M14" s="74"/>
      <x:c r="N14" s="74"/>
      <x:c r="O14" s="74"/>
      <x:c r="P14" s="74"/>
      <x:c r="Q14" s="74"/>
      <x:c r="R14" s="74"/>
      <x:c r="S14" s="74"/>
      <x:c r="T14" s="74"/>
      <x:c r="U14" s="74"/>
      <x:c r="V14" s="74"/>
    </x:row>
    <x:row r="15">
      <x:c r="A15" s="80" t="str">
        <x:v>Polyamides</x:v>
      </x:c>
      <x:c r="B15" s="80"/>
      <x:c r="C15" s="74"/>
      <x:c r="D15" s="74"/>
      <x:c r="E15" s="74"/>
      <x:c r="F15" s="74"/>
      <x:c r="G15" s="74"/>
      <x:c r="H15" s="74"/>
      <x:c r="I15" s="74"/>
      <x:c r="J15" s="74"/>
      <x:c r="K15" s="74"/>
      <x:c r="L15" s="74"/>
      <x:c r="M15" s="74"/>
      <x:c r="N15" s="74"/>
      <x:c r="O15" s="74"/>
      <x:c r="P15" s="74"/>
      <x:c r="Q15" s="74"/>
      <x:c r="R15" s="74"/>
      <x:c r="S15" s="74"/>
      <x:c r="T15" s="74"/>
      <x:c r="U15" s="74"/>
      <x:c r="V15" s="74"/>
    </x:row>
    <x:row r="16">
      <x:c r="A16" s="74" t="str">
        <x:v>PA6</x:v>
      </x:c>
      <x:c r="B16" s="74" t="str">
        <x:v>High-performance nylon filament known for its excellent balance of strength, flexibility, and chemical resistance, suitable for a wide range of engineering and industrial applications.</x:v>
      </x:c>
      <x:c r="C16" s="74"/>
      <x:c r="D16" s="74"/>
      <x:c r="E16" s="74"/>
      <x:c r="F16" s="74"/>
      <x:c r="G16" s="74"/>
      <x:c r="H16" s="74"/>
      <x:c r="I16" s="74"/>
      <x:c r="J16" s="74"/>
      <x:c r="K16" s="74"/>
      <x:c r="L16" s="74"/>
      <x:c r="M16" s="74"/>
      <x:c r="N16" s="74"/>
      <x:c r="O16" s="74"/>
      <x:c r="P16" s="74"/>
      <x:c r="Q16" s="74"/>
      <x:c r="R16" s="74"/>
      <x:c r="S16" s="74"/>
      <x:c r="T16" s="74"/>
      <x:c r="U16" s="74"/>
      <x:c r="V16" s="74"/>
    </x:row>
    <x:row r="17">
      <x:c r="A17" s="74" t="str">
        <x:v>PA66</x:v>
      </x:c>
      <x:c r="B17" s="74" t="str">
        <x:v>PA66 is another widely used nylon filament. It offers properties similar to PA6 but with enhanced strength, stiffness, and heat resistance. It is commonly used in engineering applications where higher mechanical performance is required.</x:v>
      </x:c>
      <x:c r="C17" s="74"/>
      <x:c r="D17" s="74"/>
      <x:c r="E17" s="74"/>
      <x:c r="F17" s="74"/>
      <x:c r="G17" s="74"/>
      <x:c r="H17" s="74"/>
      <x:c r="I17" s="74"/>
      <x:c r="J17" s="74"/>
      <x:c r="K17" s="74"/>
      <x:c r="L17" s="74"/>
      <x:c r="M17" s="74"/>
      <x:c r="N17" s="74"/>
      <x:c r="O17" s="74"/>
      <x:c r="P17" s="74"/>
      <x:c r="Q17" s="74"/>
      <x:c r="R17" s="74"/>
      <x:c r="S17" s="74"/>
      <x:c r="T17" s="74"/>
      <x:c r="U17" s="74"/>
      <x:c r="V17" s="74"/>
    </x:row>
    <x:row r="18">
      <x:c r="A18" s="74" t="str">
        <x:v>PA12</x:v>
      </x:c>
      <x:c r="B18" s="74" t="str">
        <x:v>PA12 is known for its excellent chemical resistance, low moisture absorption, and good impact strength. It is often used in applications requiring high durability, such as automotive components, industrial parts, and consumer goods.</x:v>
      </x:c>
      <x:c r="C18" s="74"/>
      <x:c r="D18" s="74"/>
      <x:c r="E18" s="74"/>
      <x:c r="F18" s="74"/>
      <x:c r="G18" s="74"/>
      <x:c r="H18" s="74"/>
      <x:c r="I18" s="74"/>
      <x:c r="J18" s="74"/>
      <x:c r="K18" s="74"/>
      <x:c r="L18" s="74"/>
      <x:c r="M18" s="74"/>
      <x:c r="N18" s="74"/>
      <x:c r="O18" s="74"/>
      <x:c r="P18" s="74"/>
      <x:c r="Q18" s="74"/>
      <x:c r="R18" s="74"/>
      <x:c r="S18" s="74"/>
      <x:c r="T18" s="74"/>
      <x:c r="U18" s="74"/>
      <x:c r="V18" s="74"/>
    </x:row>
    <x:row r="19">
      <x:c r="A19" s="74" t="str">
        <x:v>PA11</x:v>
      </x:c>
      <x:c r="B19" s="74" t="str">
        <x:v>PA11 is a bio-based nylon filament derived from renewable sources such as castor beans. It offers excellent chemical resistance, flexibility, and impact strength. PA11 is commonly used in automotive, oil and gas, and industrial applications.</x:v>
      </x:c>
      <x:c r="C19" s="74"/>
      <x:c r="D19" s="74"/>
      <x:c r="E19" s="74"/>
      <x:c r="F19" s="74"/>
      <x:c r="G19" s="74"/>
      <x:c r="H19" s="74"/>
      <x:c r="I19" s="74"/>
      <x:c r="J19" s="74"/>
      <x:c r="K19" s="74"/>
      <x:c r="L19" s="74"/>
      <x:c r="M19" s="74"/>
      <x:c r="N19" s="74"/>
      <x:c r="O19" s="74"/>
      <x:c r="P19" s="74"/>
      <x:c r="Q19" s="74"/>
      <x:c r="R19" s="74"/>
      <x:c r="S19" s="74"/>
      <x:c r="T19" s="74"/>
      <x:c r="U19" s="74"/>
      <x:c r="V19" s="74"/>
    </x:row>
    <x:row r="20">
      <x:c r="A20" s="74" t="str">
        <x:v>PA46</x:v>
      </x:c>
      <x:c r="B20" s="74" t="str">
        <x:v>PA46 is a high-performance nylon filament known for its exceptional strength, stiffness, and temperature resistance. It is used in demanding applications where superior mechanical properties are required, such as in the automotive and aerospace industries.</x:v>
      </x:c>
      <x:c r="C20" s="74"/>
      <x:c r="D20" s="74"/>
      <x:c r="E20" s="74"/>
      <x:c r="F20" s="74"/>
      <x:c r="G20" s="74"/>
      <x:c r="H20" s="74"/>
      <x:c r="I20" s="74"/>
      <x:c r="J20" s="74"/>
      <x:c r="K20" s="74"/>
      <x:c r="L20" s="74"/>
      <x:c r="M20" s="74"/>
      <x:c r="N20" s="74"/>
      <x:c r="O20" s="74"/>
      <x:c r="P20" s="74"/>
      <x:c r="Q20" s="74"/>
      <x:c r="R20" s="74"/>
      <x:c r="S20" s="74"/>
      <x:c r="T20" s="74"/>
      <x:c r="U20" s="74"/>
      <x:c r="V20" s="74"/>
    </x:row>
    <x:row r="21">
      <x:c r="A21" s="74" t="str">
        <x:v>PA4T</x:v>
      </x:c>
      <x:c r="B21" s="74" t="str">
        <x:v>PA4T is a high-temperature nylon filament with excellent thermal stability and mechanical properties. It is often used in applications requiring resistance to elevated temperatures, such as in electrical and electronic components.</x:v>
      </x:c>
      <x:c r="C21" s="74"/>
      <x:c r="D21" s="74"/>
      <x:c r="E21" s="74"/>
      <x:c r="F21" s="74"/>
      <x:c r="G21" s="74"/>
      <x:c r="H21" s="74"/>
      <x:c r="I21" s="74"/>
      <x:c r="J21" s="74"/>
      <x:c r="K21" s="74"/>
      <x:c r="L21" s="74"/>
      <x:c r="M21" s="74"/>
      <x:c r="N21" s="74"/>
      <x:c r="O21" s="74"/>
      <x:c r="P21" s="74"/>
      <x:c r="Q21" s="74"/>
      <x:c r="R21" s="74"/>
      <x:c r="S21" s="74"/>
      <x:c r="T21" s="74"/>
      <x:c r="U21" s="74"/>
      <x:c r="V21" s="74"/>
    </x:row>
    <x:row r="22">
      <x:c r="A22" s="74" t="str">
        <x:v>PA6/66</x:v>
      </x:c>
      <x:c r="B22" s="74" t="str">
        <x:v>PA6/66 blends combine the properties of both PA6 and PA66 filaments, offering a balance of strength, stiffness, and heat resistance. They are used in various engineering applications where a combination of properties is required.</x:v>
      </x:c>
      <x:c r="C22" s="74"/>
      <x:c r="D22" s="74"/>
      <x:c r="E22" s="74"/>
      <x:c r="F22" s="74"/>
      <x:c r="G22" s="74"/>
      <x:c r="H22" s="74"/>
      <x:c r="I22" s="74"/>
      <x:c r="J22" s="74"/>
      <x:c r="K22" s="74"/>
      <x:c r="L22" s="74"/>
      <x:c r="M22" s="74"/>
      <x:c r="N22" s="74"/>
      <x:c r="O22" s="74"/>
      <x:c r="P22" s="74"/>
      <x:c r="Q22" s="74"/>
      <x:c r="R22" s="74"/>
      <x:c r="S22" s="74"/>
      <x:c r="T22" s="74"/>
      <x:c r="U22" s="74"/>
      <x:c r="V22" s="74"/>
    </x:row>
  </x:sheetData>
  <x:pageMargins left="0.7" right="0.7" top="0.75" bottom="0.75" header="0.3" footer="0.3"/>
</x:worksheet>
</file>